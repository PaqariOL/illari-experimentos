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Experimento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<sst xmlns="http://schemas.openxmlformats.org/spreadsheetml/2006/main" count="267" uniqueCount="143">
  <si>
    <t xml:space="preserve">Clasificación de experimentos — Illari OpenLab Académico</t>
  </si>
  <si>
    <t xml:space="preserve">Cómo llenar la hoja "Experimentos"</t>
  </si>
  <si>
    <t xml:space="preserve">1. Una fila por experimento, a partir de la fila 4. La fila 3 es un EJEMPLO (gris): puedes dejarla o borrarla, se ignora.</t>
  </si>
  <si>
    <t xml:space="preserve">2. Obligatorio: "Archivo HTML" (nombre exacto del archivo) y al menos una "x" en Tópicos o Campos de aplicación.</t>
  </si>
  <si>
    <t xml:space="preserve">3. Tópicos, Campos y Seguridad: marca con una "x" (lista desplegable) todas las columnas que correspondan. Un experimento puede tener varias.</t>
  </si>
  <si>
    <t xml:space="preserve">4. Lo demás es opcional: si lo dejas vacío, simplemente no se muestra en la app.</t>
  </si>
  <si>
    <t xml:space="preserve">5. La columna "Estado" se calcula sola: dice "Falta" si falta el archivo o no marcaste ningún tópico ni campo.</t>
  </si>
  <si>
    <t xml:space="preserve">Qué significa cada columna</t>
  </si>
  <si>
    <t xml:space="preserve">Archivo HTML — ej. sintesis_grafeno_electroquimicamente.html (de aquí se extraen introducción, objetivos, materiales, pasos y preguntas).</t>
  </si>
  <si>
    <t xml:space="preserve">Título — opcional; si queda vacío se toma el título del HTML.</t>
  </si>
  <si>
    <t xml:space="preserve">Resumen — 2 o 3 líneas que aparecen en la lista de experimentos (S3).</t>
  </si>
  <si>
    <t xml:space="preserve">Nivel — Primaria, Secundaria, Secundaria avanzada, Universitario o Todos.</t>
  </si>
  <si>
    <t xml:space="preserve">Duración (min) — tiempo total aproximado del experimento, en minutos.</t>
  </si>
  <si>
    <t xml:space="preserve">Kits — kits o equipos necesarios, separados por coma. Ej.: Kit 3, Central.</t>
  </si>
  <si>
    <t xml:space="preserve">Nobel (año) — si el tema se relaciona con un Premio Nobel, el año. Ej.: 2010.</t>
  </si>
  <si>
    <t xml:space="preserve">Seguridad — riesgos principales; en la app se mostrarán como pictogramas.</t>
  </si>
  <si>
    <t xml:space="preserve">Colores</t>
  </si>
  <si>
    <t xml:space="preserve">Celdas blancas: para llenar.   Fila gris: ejemplo.   Columna "Estado": automática, no editar.</t>
  </si>
  <si>
    <t xml:space="preserve">DATOS</t>
  </si>
  <si>
    <t xml:space="preserve">TÓPICOS</t>
  </si>
  <si>
    <t xml:space="preserve">CAMPOS DE APLICACIÓN</t>
  </si>
  <si>
    <t xml:space="preserve">SEGURIDAD</t>
  </si>
  <si>
    <t xml:space="preserve">Archivo HTML</t>
  </si>
  <si>
    <t xml:space="preserve">Título</t>
  </si>
  <si>
    <t xml:space="preserve">Resumen</t>
  </si>
  <si>
    <t xml:space="preserve">Nivel</t>
  </si>
  <si>
    <t xml:space="preserve">Duración (min)</t>
  </si>
  <si>
    <t xml:space="preserve">Kits</t>
  </si>
  <si>
    <t xml:space="preserve">Nobel (año)</t>
  </si>
  <si>
    <t xml:space="preserve">Electroquímica</t>
  </si>
  <si>
    <t xml:space="preserve">Microscopía</t>
  </si>
  <si>
    <t xml:space="preserve">Espectrofotometría</t>
  </si>
  <si>
    <t xml:space="preserve">Energía</t>
  </si>
  <si>
    <t xml:space="preserve">DigiChem</t>
  </si>
  <si>
    <t xml:space="preserve">NanoTec</t>
  </si>
  <si>
    <t xml:space="preserve">Industria</t>
  </si>
  <si>
    <t xml:space="preserve">Almacenamiento de energía</t>
  </si>
  <si>
    <t xml:space="preserve">Generación de energía</t>
  </si>
  <si>
    <t xml:space="preserve">Ciencias básicas</t>
  </si>
  <si>
    <t xml:space="preserve">Tratamientos de aguas</t>
  </si>
  <si>
    <t xml:space="preserve">Medio ambiente</t>
  </si>
  <si>
    <t xml:space="preserve">Química digital</t>
  </si>
  <si>
    <t xml:space="preserve">Microrobótica</t>
  </si>
  <si>
    <t xml:space="preserve">Otras áreas</t>
  </si>
  <si>
    <t xml:space="preserve">Corrosivo</t>
  </si>
  <si>
    <t xml:space="preserve">Inflamable</t>
  </si>
  <si>
    <t xml:space="preserve">Láser</t>
  </si>
  <si>
    <t xml:space="preserve">Eléctrico</t>
  </si>
  <si>
    <t xml:space="preserve">Calor</t>
  </si>
  <si>
    <t xml:space="preserve">Tóxico</t>
  </si>
  <si>
    <t xml:space="preserve">Gases</t>
  </si>
  <si>
    <t xml:space="preserve">Estado</t>
  </si>
  <si>
    <t xml:space="preserve">Referencia</t>
  </si>
  <si>
    <t xml:space="preserve">exp_ele_sint_grafeno.html</t>
  </si>
  <si>
    <t xml:space="preserve">Síntesis electroquímica de grafeno</t>
  </si>
  <si>
    <t xml:space="preserve">Obtención de grafeno por método electroquímico (seguro, amigable con el medio ambiente, escalable). A partir de minas de lápiz.</t>
  </si>
  <si>
    <t xml:space="preserve">Todos</t>
  </si>
  <si>
    <t xml:space="preserve">Central</t>
  </si>
  <si>
    <t xml:space="preserve">x</t>
  </si>
  <si>
    <t xml:space="preserve">https://pubs.acs.org/doi/10.1021/acsami.7b09891</t>
  </si>
  <si>
    <t xml:space="preserve">exp_ele_cqds.html</t>
  </si>
  <si>
    <t xml:space="preserve">Síntesis de puntos cuánticos de carbono</t>
  </si>
  <si>
    <t xml:space="preserve">Sintetiza puntos cuánticos de carbono utilizando insumos accesibles y seguros.</t>
  </si>
  <si>
    <t xml:space="preserve">Secundaria avanzada</t>
  </si>
  <si>
    <t xml:space="preserve">https://www.sciencedirect.com/org/science/article/pii/S2041652023065914</t>
  </si>
  <si>
    <t xml:space="preserve">exp_digi_microesf.html</t>
  </si>
  <si>
    <t xml:space="preserve">Microesferas de Gelatina</t>
  </si>
  <si>
    <t xml:space="preserve">Produce microesferas de gelatina utilizando microfluídica. Controla tamaño y uniformidad. Esta técnica es ampliamente utilizada en liberación controlada de fármacos, encapsulación y sistemas biomédicos.</t>
  </si>
  <si>
    <t xml:space="preserve">Central/DigiChem</t>
  </si>
  <si>
    <t xml:space="preserve">OK</t>
  </si>
  <si>
    <t xml:space="preserve">https://pubs.acs.org/doi/10.1021/acs.jchemed.2c00901</t>
  </si>
  <si>
    <t xml:space="preserve">exp_digi_quim_microf.html</t>
  </si>
  <si>
    <t xml:space="preserve">Química en Microfluídica</t>
  </si>
  <si>
    <t xml:space="preserve">Explora cómo pequeñas cantidades de sustancias pueden realizar reacciones químicas en microcanales, descubriendo las ventajas de la microfluídica para hacer experimentos más rápidos, económicos y sostenibles. </t>
  </si>
  <si>
    <t xml:space="preserve">https://pubs.acs.org/doi/10.1021/acs.jchemed.3c01036</t>
  </si>
  <si>
    <t xml:space="preserve">exp_ele_char_mater.html</t>
  </si>
  <si>
    <t xml:space="preserve">Caracterización Electroquímica de Metales</t>
  </si>
  <si>
    <t xml:space="preserve">Explora el comportamiento de distintos metales mediante técnicas electroquímicas y descubre cómo sus propiedades influyen en aplicaciones como la energía, la corrosión y la fabricación de materiales. </t>
  </si>
  <si>
    <t xml:space="preserve">https://pubs.acs.org/jceda8/article/95/2/197/750385/A-Practical-Beginner-s-Guide-to-Cyclic-Voltammetry</t>
  </si>
  <si>
    <t xml:space="preserve">exp_ele_corrosion.html</t>
  </si>
  <si>
    <t xml:space="preserve">Corrosión de Metales por Voltametría</t>
  </si>
  <si>
    <t xml:space="preserve">Explora cómo y por qué se corroen los metales mediante una experiencia electroquímica, descubriendo los factores que aceleran este proceso y su importancia en objetos y estructuras de uso cotidiano. </t>
  </si>
  <si>
    <t xml:space="preserve">Universitario</t>
  </si>
  <si>
    <t xml:space="preserve">https://www.biologic.net/documents/tafel-plot-lpr-corrosion-application-note-10/</t>
  </si>
  <si>
    <t xml:space="preserve">exp_ele_detect_met_pesad.html</t>
  </si>
  <si>
    <t xml:space="preserve">Detección de Cu(II) por Voltamperometría</t>
  </si>
  <si>
    <t xml:space="preserve">Descubre cómo detectar cobre en una muestra y comprende su importancia en el agua y el ambiente mediante una experiencia electroquímica sencilla y práctica. </t>
  </si>
  <si>
    <t xml:space="preserve">https://www.nature.com/articles/nprot.2013.007</t>
  </si>
  <si>
    <t xml:space="preserve">exp_ele_fund_electrochem.html</t>
  </si>
  <si>
    <t xml:space="preserve">Voltametría cíclica</t>
  </si>
  <si>
    <t xml:space="preserve">Explora cómo se comportan la materia frente a la electricidad y descubre sus procesos de oxidación y reducción. </t>
  </si>
  <si>
    <t xml:space="preserve">Secundaria</t>
  </si>
  <si>
    <t xml:space="preserve">exp_ele_ion_zn.html</t>
  </si>
  <si>
    <t xml:space="preserve">Baterías Recargables de Ion Zinc</t>
  </si>
  <si>
    <t xml:space="preserve">Construye y explora una batería recargable de ion-zinc, descubriendo cómo almacena y libera energía y por qué estas tecnologías son una alternativa interesante para el futuro del almacenamiento energético. </t>
  </si>
  <si>
    <t xml:space="preserve">Central/Energía</t>
  </si>
  <si>
    <t xml:space="preserve">https://www.sciencedirect.com/science/article/pii/S2095495620303922</t>
  </si>
  <si>
    <t xml:space="preserve">exp_mic_chip.html</t>
  </si>
  <si>
    <t xml:space="preserve">Chip bajo microscopio</t>
  </si>
  <si>
    <t xml:space="preserve">Observación de un chip bajo el microscopio, explorando sus diminutos componentes y descubriendo cómo la tecnología integra millones de elementos en espacios cada vez más pequeños. </t>
  </si>
  <si>
    <t xml:space="preserve">Centra/Microscopio</t>
  </si>
  <si>
    <t xml:space="preserve">exp_mic_lente_azuc.html</t>
  </si>
  <si>
    <t xml:space="preserve">Lente de aumento con agua azucarada</t>
  </si>
  <si>
    <t xml:space="preserve">Construye una sencilla lente de aumento con agua azucarada y descubre cómo la luz puede cambiar de dirección para ampliar y transformar lo que observamos. </t>
  </si>
  <si>
    <t xml:space="preserve">https://www.instructables.com/Cook-up-an-Edible-Magnifying-Glass/</t>
  </si>
  <si>
    <t xml:space="preserve">exp_mic_microplast.html</t>
  </si>
  <si>
    <t xml:space="preserve">Determinación de microplásticos</t>
  </si>
  <si>
    <t xml:space="preserve">Detecta microplásticos en muestras de agua y descubre cómo estos pequeños fragmentos de plástico pueden llegar al ambiente, explorando su impacto y la importancia de identificarlos. </t>
  </si>
  <si>
    <t xml:space="preserve">/https://escholarship.org/content/qt213891c7/qt213891c7_noSplash_fd1323853445327e6485b7bf6f235f97.pdf   y   https://analyticalsciencejournals.onlinelibrary.wiley.com/doi/abs/10.1002/jemt.24596</t>
  </si>
  <si>
    <t xml:space="preserve">exp_mic_mitosis.html</t>
  </si>
  <si>
    <t xml:space="preserve">Mitosis celular en cebollas</t>
  </si>
  <si>
    <t xml:space="preserve">Observa la mitosis en células de cebolla y descubre cómo las células se dividen para crecer y reproducirse, identificando las diferentes etapas de este fascinante proceso. </t>
  </si>
  <si>
    <t xml:space="preserve">https://www.thoughtco.com/observing-mitosis-lab-1224888</t>
  </si>
  <si>
    <t xml:space="preserve">exp_mic_polen.html</t>
  </si>
  <si>
    <t xml:space="preserve">Monitoreo de morfología de polen</t>
  </si>
  <si>
    <t xml:space="preserve">Observa y monitorea la morfología del polen, descubriendo la diversidad de formas y estructuras microscópicas que permiten identificar y diferenciar distintas especies vegetales. </t>
  </si>
  <si>
    <t xml:space="preserve">https://www.sciencedirect.com/science/article/pii/S0254629922002563</t>
  </si>
  <si>
    <t xml:space="preserve">exp_mic_respiracion_plants.html</t>
  </si>
  <si>
    <t xml:space="preserve">Respiración de las plantas</t>
  </si>
  <si>
    <t xml:space="preserve">Observa cómo las plantas liberan oxígeno durante la fotosíntesis y descubre este proceso mediante la formación de burbujas, utilizando bicarbonato de sodio y un microscopio. </t>
  </si>
  <si>
    <t xml:space="preserve">https://www.sciencebuff.org/scienceactivity/breathing-leaves/ </t>
  </si>
  <si>
    <t xml:space="preserve">exp_mic_wat_electrolisis.html</t>
  </si>
  <si>
    <t xml:space="preserve">Formación de O2 y H2 por electrólisis</t>
  </si>
  <si>
    <t xml:space="preserve">Observa la formación de hidrógeno y oxígeno durante la electrólisis y descubre cómo la electricidad puede transformar el agua, siguiendo el proceso directamente bajo el microscopio. </t>
  </si>
  <si>
    <t xml:space="preserve">exp_spect_clorofil.html</t>
  </si>
  <si>
    <t xml:space="preserve">Obteniendo clorofila de espinacas</t>
  </si>
  <si>
    <t xml:space="preserve">Extrae clorofila de espinacas y explora sus propiedades ópticas mediante un espectrómetro, descubriendo cómo las plantas absorben la luz y qué relación tiene con la fotosíntesis. </t>
  </si>
  <si>
    <t xml:space="preserve">Central/Spectrometro</t>
  </si>
  <si>
    <t xml:space="preserve">exp_spect_cqds.html</t>
  </si>
  <si>
    <t xml:space="preserve">Puntos cuánticos de carbono (químico)</t>
  </si>
  <si>
    <t xml:space="preserve">Sintetiza puntos cuánticos de carbono mediante un método químico y descubre cómo transformar materiales sencillos en nanomateriales con propiedades ópticas sorprendentes y potenciales aplicaciones tecnológicas. </t>
  </si>
  <si>
    <t xml:space="preserve">https://dergipark.org.tr/en/pub/okufbed/issue/71216/1024008</t>
  </si>
  <si>
    <t xml:space="preserve">exp_spect_pHcol.html</t>
  </si>
  <si>
    <t xml:space="preserve">Col morada como indicador de pH</t>
  </si>
  <si>
    <t xml:space="preserve">Prepara un indicador de pH a partir de col morada y descubre cómo sus colores cambian según la acidez o basicidad de diferentes sustancias de uso cotidiano. </t>
  </si>
  <si>
    <t xml:space="preserve">https://www.compoundchem.com/2017/05/18/red-cabbage/</t>
  </si>
  <si>
    <t xml:space="preserve">exp_spect_quim_color.html</t>
  </si>
  <si>
    <t xml:space="preserve">Estructura química y color</t>
  </si>
  <si>
    <t xml:space="preserve">Explora cómo la estructura química de una sustancia puede influir en su color, descubriendo la relación entre las moléculas, la luz y las propiedades que observamos a simple vista. </t>
  </si>
  <si>
    <t xml:space="preserve">Experimentos por categoría</t>
  </si>
  <si>
    <t xml:space="preserve">Se actualiza solo (no cuenta la fila de ejemplo).</t>
  </si>
  <si>
    <t xml:space="preserve">Total de experimentos</t>
  </si>
  <si>
    <t xml:space="preserve">N.º experimentos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</si>
</sst>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F6E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2F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4"/>
      <color rgb="FF1B2F6E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F6E"/>
        <bgColor rgb="FF333399"/>
      </patternFill>
    </fill>
    <fill>
      <patternFill patternType="solid">
        <fgColor rgb="FF2E6B74"/>
        <bgColor rgb="FF3F7F5F"/>
      </patternFill>
    </fill>
    <fill>
      <patternFill patternType="solid">
        <fgColor rgb="FF3F7F5F"/>
        <bgColor rgb="FF2E6B74"/>
      </patternFill>
    </fill>
    <fill>
      <patternFill patternType="solid">
        <fgColor rgb="FFA3432F"/>
        <bgColor rgb="FF993366"/>
      </patternFill>
    </fill>
    <fill>
      <patternFill patternType="solid">
        <fgColor rgb="FF555555"/>
        <bgColor rgb="FF2E6B74"/>
      </patternFill>
    </fill>
    <fill>
      <patternFill patternType="solid">
        <fgColor rgb="FF800080"/>
        <bgColor rgb="FF800080"/>
      </patternFill>
    </fill>
    <fill>
      <patternFill patternType="solid">
        <fgColor rgb="FFE3E6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7AA"/>
      </left>
      <right style="thin">
        <color rgb="FF9AA7AA"/>
      </right>
      <top style="thin">
        <color rgb="FF9AA7AA"/>
      </top>
      <bottom style="thin">
        <color rgb="FF9AA7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74"/>
      <rgbColor rgb="FFC0C0C0"/>
      <rgbColor rgb="FF808080"/>
      <rgbColor rgb="FF9999FF"/>
      <rgbColor rgb="FF993366"/>
      <rgbColor rgb="FFFFFFCC"/>
      <rgbColor rgb="FFE3E6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7AA"/>
      <rgbColor rgb="FF1B2F6E"/>
      <rgbColor rgb="FF3F7F5F"/>
      <rgbColor rgb="FF003300"/>
      <rgbColor rgb="FF333300"/>
      <rgbColor rgb="FFA343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houghtco.com/observing-mitosis-lab-1224888" TargetMode="External"/><Relationship Id="rId2" Type="http://schemas.openxmlformats.org/officeDocument/2006/relationships/hyperlink" Target="https://www.sciencebuff.org/scienceactivity/breathing-leav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/>
    </row>
    <row r="4" customFormat="false" ht="15" hidden="false" customHeight="true" outlineLevel="0" collapsed="false">
      <c r="B4" s="4" t="s">
        <v>1</v>
      </c>
    </row>
    <row r="5" customFormat="false" ht="15" hidden="false" customHeight="true" outlineLevel="0" collapsed="false">
      <c r="B5" s="3" t="s">
        <v>2</v>
      </c>
    </row>
    <row r="6" customFormat="false" ht="15" hidden="false" customHeight="true" outlineLevel="0" collapsed="false">
      <c r="B6" s="3" t="s">
        <v>3</v>
      </c>
    </row>
    <row r="7" customFormat="false" ht="23.2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15" hidden="false" customHeight="true" outlineLevel="0" collapsed="false">
      <c r="B9" s="3" t="s">
        <v>6</v>
      </c>
    </row>
    <row r="10" customFormat="false" ht="15" hidden="false" customHeight="true" outlineLevel="0" collapsed="false">
      <c r="B10" s="3"/>
    </row>
    <row r="11" customFormat="false" ht="15" hidden="false" customHeight="true" outlineLevel="0" collapsed="false">
      <c r="B11" s="4" t="s">
        <v>7</v>
      </c>
    </row>
    <row r="12" customFormat="false" ht="23.25" hidden="false" customHeight="true" outlineLevel="0" collapsed="false">
      <c r="B12" s="3" t="s">
        <v>8</v>
      </c>
    </row>
    <row r="13" customFormat="false" ht="15" hidden="false" customHeight="true" outlineLevel="0" collapsed="false">
      <c r="B13" s="3" t="s">
        <v>9</v>
      </c>
    </row>
    <row r="14" customFormat="false" ht="15" hidden="false" customHeight="true" outlineLevel="0" collapsed="false">
      <c r="B14" s="3" t="s">
        <v>10</v>
      </c>
    </row>
    <row r="15" customFormat="false" ht="15" hidden="false" customHeight="true" outlineLevel="0" collapsed="false">
      <c r="B15" s="3" t="s">
        <v>11</v>
      </c>
    </row>
    <row r="16" customFormat="false" ht="15" hidden="false" customHeight="true" outlineLevel="0" collapsed="false">
      <c r="B16" s="3" t="s">
        <v>12</v>
      </c>
    </row>
    <row r="17" customFormat="false" ht="15" hidden="false" customHeight="true" outlineLevel="0" collapsed="false">
      <c r="B17" s="3" t="s">
        <v>13</v>
      </c>
    </row>
    <row r="18" customFormat="false" ht="15" hidden="false" customHeight="true" outlineLevel="0" collapsed="false">
      <c r="B18" s="3" t="s">
        <v>14</v>
      </c>
    </row>
    <row r="19" customFormat="false" ht="15" hidden="false" customHeight="true" outlineLevel="0" collapsed="false">
      <c r="B19" s="3" t="s">
        <v>15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4" t="s">
        <v>16</v>
      </c>
    </row>
    <row r="22" customFormat="false" ht="15" hidden="false" customHeight="true" outlineLevel="0" collapsed="false">
      <c r="B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E1" activeCellId="0" sqref="AE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29" min="8" style="1" width="4.2"/>
    <col collapsed="false" customWidth="true" hidden="false" outlineLevel="0" max="30" min="30" style="1" width="9"/>
    <col collapsed="false" customWidth="true" hidden="false" outlineLevel="0" max="31" min="31" style="1" width="10.33"/>
  </cols>
  <sheetData>
    <row r="1" customFormat="false" ht="19.5" hidden="false" customHeight="true" outlineLevel="0" collapsed="false">
      <c r="A1" s="5" t="s">
        <v>18</v>
      </c>
      <c r="B1" s="5"/>
      <c r="C1" s="5"/>
      <c r="D1" s="5"/>
      <c r="E1" s="5"/>
      <c r="F1" s="5"/>
      <c r="G1" s="5"/>
      <c r="H1" s="6" t="s">
        <v>19</v>
      </c>
      <c r="I1" s="6"/>
      <c r="J1" s="6"/>
      <c r="K1" s="6"/>
      <c r="L1" s="6"/>
      <c r="M1" s="7" t="s">
        <v>20</v>
      </c>
      <c r="N1" s="7"/>
      <c r="O1" s="7"/>
      <c r="P1" s="7"/>
      <c r="Q1" s="7"/>
      <c r="R1" s="7"/>
      <c r="S1" s="7"/>
      <c r="T1" s="7"/>
      <c r="U1" s="7"/>
      <c r="V1" s="7"/>
      <c r="W1" s="8" t="s">
        <v>21</v>
      </c>
      <c r="X1" s="8"/>
      <c r="Y1" s="8"/>
      <c r="Z1" s="8"/>
      <c r="AA1" s="8"/>
      <c r="AB1" s="8"/>
      <c r="AC1" s="8"/>
      <c r="AD1" s="9"/>
      <c r="AE1" s="10"/>
    </row>
    <row r="2" customFormat="false" ht="150" hidden="false" customHeight="true" outlineLevel="0" collapsed="false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3" t="s">
        <v>34</v>
      </c>
      <c r="N2" s="13" t="s">
        <v>35</v>
      </c>
      <c r="O2" s="13" t="s">
        <v>36</v>
      </c>
      <c r="P2" s="13" t="s">
        <v>37</v>
      </c>
      <c r="Q2" s="13" t="s">
        <v>38</v>
      </c>
      <c r="R2" s="13" t="s">
        <v>39</v>
      </c>
      <c r="S2" s="13" t="s">
        <v>40</v>
      </c>
      <c r="T2" s="13" t="s">
        <v>41</v>
      </c>
      <c r="U2" s="13" t="s">
        <v>42</v>
      </c>
      <c r="V2" s="13" t="s">
        <v>43</v>
      </c>
      <c r="W2" s="14" t="s">
        <v>44</v>
      </c>
      <c r="X2" s="14" t="s">
        <v>45</v>
      </c>
      <c r="Y2" s="14" t="s">
        <v>46</v>
      </c>
      <c r="Z2" s="14" t="s">
        <v>47</v>
      </c>
      <c r="AA2" s="14" t="s">
        <v>48</v>
      </c>
      <c r="AB2" s="14" t="s">
        <v>49</v>
      </c>
      <c r="AC2" s="14" t="s">
        <v>50</v>
      </c>
      <c r="AD2" s="15" t="s">
        <v>51</v>
      </c>
      <c r="AE2" s="16" t="s">
        <v>52</v>
      </c>
    </row>
    <row r="3" customFormat="false" ht="34.5" hidden="false" customHeight="true" outlineLevel="0" collapsed="false">
      <c r="A3" s="17" t="s">
        <v>53</v>
      </c>
      <c r="B3" s="18" t="s">
        <v>54</v>
      </c>
      <c r="C3" s="18" t="s">
        <v>55</v>
      </c>
      <c r="D3" s="19" t="s">
        <v>56</v>
      </c>
      <c r="E3" s="20" t="n">
        <v>60</v>
      </c>
      <c r="F3" s="19" t="s">
        <v>57</v>
      </c>
      <c r="G3" s="20" t="n">
        <v>2010</v>
      </c>
      <c r="H3" s="20" t="s">
        <v>58</v>
      </c>
      <c r="I3" s="20"/>
      <c r="J3" s="20"/>
      <c r="K3" s="20"/>
      <c r="L3" s="20"/>
      <c r="M3" s="20" t="s">
        <v>58</v>
      </c>
      <c r="N3" s="20"/>
      <c r="O3" s="20"/>
      <c r="P3" s="20"/>
      <c r="Q3" s="20" t="s">
        <v>58</v>
      </c>
      <c r="R3" s="20"/>
      <c r="S3" s="20"/>
      <c r="T3" s="20"/>
      <c r="U3" s="20"/>
      <c r="V3" s="20"/>
      <c r="W3" s="20"/>
      <c r="X3" s="20"/>
      <c r="Y3" s="20"/>
      <c r="Z3" s="20" t="s">
        <v>58</v>
      </c>
      <c r="AA3" s="20"/>
      <c r="AB3" s="20"/>
      <c r="AC3" s="20"/>
      <c r="AD3" s="20" t="str">
        <f aca="false">IF(AND($A3="",COUNTIF(H3:V3,"x")=0),"",IF(AND($A3&lt;&gt;"",COUNTIF(H3:V3,"x")&gt;0),"OK","Falta"))</f>
        <v>OK</v>
      </c>
      <c r="AE3" s="1" t="s">
        <v>59</v>
      </c>
    </row>
    <row r="4" customFormat="false" ht="15" hidden="false" customHeight="true" outlineLevel="0" collapsed="false">
      <c r="A4" s="17" t="s">
        <v>60</v>
      </c>
      <c r="B4" s="21" t="s">
        <v>61</v>
      </c>
      <c r="C4" s="22" t="s">
        <v>62</v>
      </c>
      <c r="D4" s="17" t="s">
        <v>63</v>
      </c>
      <c r="E4" s="23" t="n">
        <v>60</v>
      </c>
      <c r="F4" s="17" t="s">
        <v>57</v>
      </c>
      <c r="G4" s="23" t="n">
        <v>2023</v>
      </c>
      <c r="H4" s="23" t="s">
        <v>58</v>
      </c>
      <c r="I4" s="23"/>
      <c r="J4" s="23"/>
      <c r="K4" s="23"/>
      <c r="L4" s="23"/>
      <c r="M4" s="23" t="s">
        <v>58</v>
      </c>
      <c r="N4" s="23"/>
      <c r="O4" s="23"/>
      <c r="P4" s="23"/>
      <c r="Q4" s="23" t="s">
        <v>58</v>
      </c>
      <c r="R4" s="23"/>
      <c r="S4" s="23"/>
      <c r="T4" s="23"/>
      <c r="U4" s="23"/>
      <c r="V4" s="23"/>
      <c r="W4" s="23"/>
      <c r="X4" s="23"/>
      <c r="Y4" s="23"/>
      <c r="Z4" s="23" t="s">
        <v>58</v>
      </c>
      <c r="AA4" s="23"/>
      <c r="AB4" s="23"/>
      <c r="AC4" s="23"/>
      <c r="AD4" s="23" t="str">
        <f aca="false">IF(AND($A4="",COUNTIF(H4:V4,"x")=0),"",IF(AND($A4&lt;&gt;"",COUNTIF(H4:V4,"x")&gt;0),"OK","Falta"))</f>
        <v>OK</v>
      </c>
      <c r="AE4" s="1" t="s">
        <v>64</v>
      </c>
    </row>
    <row r="5" customFormat="false" ht="15" hidden="false" customHeight="true" outlineLevel="0" collapsed="false">
      <c r="A5" s="17" t="s">
        <v>65</v>
      </c>
      <c r="B5" s="21" t="s">
        <v>66</v>
      </c>
      <c r="C5" s="21" t="s">
        <v>67</v>
      </c>
      <c r="D5" s="17" t="s">
        <v>63</v>
      </c>
      <c r="E5" s="23" t="n">
        <v>45</v>
      </c>
      <c r="F5" s="17" t="s">
        <v>68</v>
      </c>
      <c r="G5" s="23"/>
      <c r="H5" s="23"/>
      <c r="I5" s="23"/>
      <c r="J5" s="23"/>
      <c r="K5" s="23"/>
      <c r="L5" s="23" t="s">
        <v>58</v>
      </c>
      <c r="M5" s="23"/>
      <c r="N5" s="23" t="s">
        <v>58</v>
      </c>
      <c r="O5" s="23"/>
      <c r="P5" s="23"/>
      <c r="Q5" s="23" t="s">
        <v>58</v>
      </c>
      <c r="R5" s="23"/>
      <c r="S5" s="23"/>
      <c r="T5" s="23" t="s">
        <v>58</v>
      </c>
      <c r="U5" s="23"/>
      <c r="V5" s="23" t="s">
        <v>58</v>
      </c>
      <c r="W5" s="23"/>
      <c r="X5" s="23"/>
      <c r="Y5" s="23"/>
      <c r="Z5" s="23"/>
      <c r="AA5" s="23"/>
      <c r="AB5" s="23"/>
      <c r="AC5" s="23"/>
      <c r="AD5" s="23" t="s">
        <v>69</v>
      </c>
      <c r="AE5" s="1" t="s">
        <v>70</v>
      </c>
    </row>
    <row r="6" customFormat="false" ht="15" hidden="false" customHeight="true" outlineLevel="0" collapsed="false">
      <c r="A6" s="17" t="s">
        <v>71</v>
      </c>
      <c r="B6" s="21" t="s">
        <v>72</v>
      </c>
      <c r="C6" s="22" t="s">
        <v>73</v>
      </c>
      <c r="D6" s="17" t="s">
        <v>56</v>
      </c>
      <c r="E6" s="23" t="n">
        <v>120</v>
      </c>
      <c r="F6" s="17" t="s">
        <v>68</v>
      </c>
      <c r="G6" s="23"/>
      <c r="H6" s="23"/>
      <c r="I6" s="23"/>
      <c r="J6" s="23"/>
      <c r="K6" s="23"/>
      <c r="L6" s="23" t="s">
        <v>58</v>
      </c>
      <c r="M6" s="23"/>
      <c r="N6" s="23"/>
      <c r="O6" s="23"/>
      <c r="P6" s="23"/>
      <c r="Q6" s="23" t="s">
        <v>58</v>
      </c>
      <c r="R6" s="23"/>
      <c r="S6" s="23"/>
      <c r="T6" s="23" t="s">
        <v>58</v>
      </c>
      <c r="U6" s="23"/>
      <c r="V6" s="23"/>
      <c r="W6" s="23"/>
      <c r="X6" s="23"/>
      <c r="Y6" s="23"/>
      <c r="Z6" s="23"/>
      <c r="AA6" s="23"/>
      <c r="AB6" s="23"/>
      <c r="AC6" s="23"/>
      <c r="AD6" s="23" t="str">
        <f aca="false">IF(AND($A6="",COUNTIF(H6:V6,"x")=0),"",IF(AND($A6&lt;&gt;"",COUNTIF(H6:V6,"x")&gt;0),"OK","Falta"))</f>
        <v>OK</v>
      </c>
      <c r="AE6" s="1" t="s">
        <v>74</v>
      </c>
    </row>
    <row r="7" customFormat="false" ht="15" hidden="false" customHeight="true" outlineLevel="0" collapsed="false">
      <c r="A7" s="17" t="s">
        <v>75</v>
      </c>
      <c r="B7" s="21" t="s">
        <v>76</v>
      </c>
      <c r="C7" s="22" t="s">
        <v>77</v>
      </c>
      <c r="D7" s="17" t="s">
        <v>56</v>
      </c>
      <c r="E7" s="23" t="n">
        <v>60</v>
      </c>
      <c r="F7" s="17" t="s">
        <v>57</v>
      </c>
      <c r="G7" s="23"/>
      <c r="H7" s="23" t="s">
        <v>58</v>
      </c>
      <c r="I7" s="23"/>
      <c r="J7" s="23"/>
      <c r="K7" s="23" t="s">
        <v>58</v>
      </c>
      <c r="L7" s="23"/>
      <c r="M7" s="23"/>
      <c r="N7" s="23"/>
      <c r="O7" s="23"/>
      <c r="P7" s="23" t="s">
        <v>58</v>
      </c>
      <c r="Q7" s="23" t="s">
        <v>58</v>
      </c>
      <c r="R7" s="23"/>
      <c r="S7" s="23"/>
      <c r="T7" s="23"/>
      <c r="U7" s="23"/>
      <c r="V7" s="23"/>
      <c r="W7" s="23"/>
      <c r="X7" s="23"/>
      <c r="Y7" s="23"/>
      <c r="Z7" s="23" t="s">
        <v>58</v>
      </c>
      <c r="AA7" s="23"/>
      <c r="AB7" s="23"/>
      <c r="AC7" s="23"/>
      <c r="AD7" s="23" t="str">
        <f aca="false">IF(AND($A7="",COUNTIF(H7:V7,"x")=0),"",IF(AND($A7&lt;&gt;"",COUNTIF(H7:V7,"x")&gt;0),"OK","Falta"))</f>
        <v>OK</v>
      </c>
      <c r="AE7" s="1" t="s">
        <v>78</v>
      </c>
    </row>
    <row r="8" customFormat="false" ht="15" hidden="false" customHeight="true" outlineLevel="0" collapsed="false">
      <c r="A8" s="17" t="s">
        <v>79</v>
      </c>
      <c r="B8" s="21" t="s">
        <v>80</v>
      </c>
      <c r="C8" s="22" t="s">
        <v>81</v>
      </c>
      <c r="D8" s="17" t="s">
        <v>82</v>
      </c>
      <c r="E8" s="23" t="n">
        <v>90</v>
      </c>
      <c r="F8" s="17" t="s">
        <v>57</v>
      </c>
      <c r="G8" s="23"/>
      <c r="H8" s="23" t="s">
        <v>58</v>
      </c>
      <c r="I8" s="23"/>
      <c r="J8" s="23"/>
      <c r="K8" s="23"/>
      <c r="L8" s="23"/>
      <c r="M8" s="23"/>
      <c r="N8" s="23" t="s">
        <v>58</v>
      </c>
      <c r="O8" s="23"/>
      <c r="P8" s="23"/>
      <c r="Q8" s="23"/>
      <c r="R8" s="23"/>
      <c r="S8" s="23" t="s">
        <v>58</v>
      </c>
      <c r="T8" s="23"/>
      <c r="U8" s="23"/>
      <c r="V8" s="23"/>
      <c r="W8" s="23"/>
      <c r="X8" s="23"/>
      <c r="Y8" s="23"/>
      <c r="Z8" s="23"/>
      <c r="AA8" s="23"/>
      <c r="AB8" s="23"/>
      <c r="AC8" s="23"/>
      <c r="AD8" s="23" t="str">
        <f aca="false">IF(AND($A8="",COUNTIF(H8:V8,"x")=0),"",IF(AND($A8&lt;&gt;"",COUNTIF(H8:V8,"x")&gt;0),"OK","Falta"))</f>
        <v>OK</v>
      </c>
      <c r="AE8" s="1" t="s">
        <v>83</v>
      </c>
    </row>
    <row r="9" customFormat="false" ht="15" hidden="false" customHeight="true" outlineLevel="0" collapsed="false">
      <c r="A9" s="17" t="s">
        <v>84</v>
      </c>
      <c r="B9" s="21" t="s">
        <v>85</v>
      </c>
      <c r="C9" s="22" t="s">
        <v>86</v>
      </c>
      <c r="D9" s="17" t="s">
        <v>63</v>
      </c>
      <c r="E9" s="23" t="n">
        <v>60</v>
      </c>
      <c r="F9" s="17" t="s">
        <v>57</v>
      </c>
      <c r="G9" s="23"/>
      <c r="H9" s="23" t="s">
        <v>58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 t="s">
        <v>58</v>
      </c>
      <c r="T9" s="23"/>
      <c r="U9" s="23"/>
      <c r="V9" s="23" t="s">
        <v>58</v>
      </c>
      <c r="W9" s="23"/>
      <c r="X9" s="23"/>
      <c r="Y9" s="23"/>
      <c r="Z9" s="23" t="s">
        <v>58</v>
      </c>
      <c r="AA9" s="23"/>
      <c r="AB9" s="23"/>
      <c r="AC9" s="23"/>
      <c r="AD9" s="23" t="str">
        <f aca="false">IF(AND($A9="",COUNTIF(H9:V9,"x")=0),"",IF(AND($A9&lt;&gt;"",COUNTIF(H9:V9,"x")&gt;0),"OK","Falta"))</f>
        <v>OK</v>
      </c>
      <c r="AE9" s="1" t="s">
        <v>87</v>
      </c>
    </row>
    <row r="10" customFormat="false" ht="15" hidden="false" customHeight="true" outlineLevel="0" collapsed="false">
      <c r="A10" s="17" t="s">
        <v>88</v>
      </c>
      <c r="B10" s="21" t="s">
        <v>89</v>
      </c>
      <c r="C10" s="22" t="s">
        <v>90</v>
      </c>
      <c r="D10" s="17" t="s">
        <v>91</v>
      </c>
      <c r="E10" s="23" t="n">
        <v>60</v>
      </c>
      <c r="F10" s="17" t="s">
        <v>57</v>
      </c>
      <c r="G10" s="23"/>
      <c r="H10" s="23" t="s">
        <v>58</v>
      </c>
      <c r="I10" s="23"/>
      <c r="J10" s="23"/>
      <c r="K10" s="23"/>
      <c r="L10" s="23"/>
      <c r="M10" s="23"/>
      <c r="N10" s="23"/>
      <c r="O10" s="23"/>
      <c r="P10" s="23"/>
      <c r="Q10" s="23" t="s">
        <v>58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 t="str">
        <f aca="false">IF(AND($A10="",COUNTIF(H10:V10,"x")=0),"",IF(AND($A10&lt;&gt;"",COUNTIF(H10:V10,"x")&gt;0),"OK","Falta"))</f>
        <v>OK</v>
      </c>
      <c r="AE10" s="1" t="s">
        <v>78</v>
      </c>
    </row>
    <row r="11" customFormat="false" ht="15" hidden="false" customHeight="true" outlineLevel="0" collapsed="false">
      <c r="A11" s="17" t="s">
        <v>92</v>
      </c>
      <c r="B11" s="21" t="s">
        <v>93</v>
      </c>
      <c r="C11" s="22" t="s">
        <v>94</v>
      </c>
      <c r="D11" s="17" t="s">
        <v>63</v>
      </c>
      <c r="E11" s="23" t="n">
        <v>60</v>
      </c>
      <c r="F11" s="17" t="s">
        <v>95</v>
      </c>
      <c r="G11" s="23" t="n">
        <v>2019</v>
      </c>
      <c r="H11" s="23" t="s">
        <v>58</v>
      </c>
      <c r="I11" s="23"/>
      <c r="J11" s="23"/>
      <c r="K11" s="23" t="s">
        <v>58</v>
      </c>
      <c r="L11" s="23"/>
      <c r="M11" s="23"/>
      <c r="N11" s="23"/>
      <c r="O11" s="23" t="s">
        <v>58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 t="s">
        <v>58</v>
      </c>
      <c r="AA11" s="23"/>
      <c r="AB11" s="23"/>
      <c r="AC11" s="23"/>
      <c r="AD11" s="23" t="str">
        <f aca="false">IF(AND($A11="",COUNTIF(H11:V11,"x")=0),"",IF(AND($A11&lt;&gt;"",COUNTIF(H11:V11,"x")&gt;0),"OK","Falta"))</f>
        <v>OK</v>
      </c>
      <c r="AE11" s="1" t="s">
        <v>96</v>
      </c>
    </row>
    <row r="12" customFormat="false" ht="15" hidden="false" customHeight="true" outlineLevel="0" collapsed="false">
      <c r="A12" s="1" t="s">
        <v>97</v>
      </c>
      <c r="B12" s="21" t="s">
        <v>98</v>
      </c>
      <c r="C12" s="22" t="s">
        <v>99</v>
      </c>
      <c r="D12" s="17" t="s">
        <v>91</v>
      </c>
      <c r="E12" s="23" t="n">
        <v>60</v>
      </c>
      <c r="F12" s="17" t="s">
        <v>100</v>
      </c>
      <c r="G12" s="23"/>
      <c r="H12" s="23"/>
      <c r="I12" s="23" t="s">
        <v>58</v>
      </c>
      <c r="J12" s="23"/>
      <c r="K12" s="23"/>
      <c r="L12" s="23"/>
      <c r="M12" s="23"/>
      <c r="N12" s="23"/>
      <c r="O12" s="23"/>
      <c r="P12" s="23"/>
      <c r="Q12" s="23" t="s">
        <v>58</v>
      </c>
      <c r="R12" s="23"/>
      <c r="S12" s="23"/>
      <c r="T12" s="23"/>
      <c r="U12" s="23"/>
      <c r="V12" s="23" t="s">
        <v>58</v>
      </c>
      <c r="W12" s="23"/>
      <c r="X12" s="23"/>
      <c r="Y12" s="23"/>
      <c r="Z12" s="23"/>
      <c r="AA12" s="23"/>
      <c r="AB12" s="23"/>
      <c r="AC12" s="23"/>
      <c r="AD12" s="23" t="str">
        <f aca="false">IF(AND($A3="",COUNTIF(H12:V12,"x")=0),"",IF(AND($A3&lt;&gt;"",COUNTIF(H12:V12,"x")&gt;0),"OK","Falta"))</f>
        <v>OK</v>
      </c>
    </row>
    <row r="13" customFormat="false" ht="15" hidden="false" customHeight="true" outlineLevel="0" collapsed="false">
      <c r="A13" s="17" t="s">
        <v>101</v>
      </c>
      <c r="B13" s="21" t="s">
        <v>102</v>
      </c>
      <c r="C13" s="22" t="s">
        <v>103</v>
      </c>
      <c r="D13" s="17" t="s">
        <v>91</v>
      </c>
      <c r="E13" s="23" t="n">
        <v>60</v>
      </c>
      <c r="F13" s="17" t="s">
        <v>100</v>
      </c>
      <c r="G13" s="23"/>
      <c r="H13" s="23"/>
      <c r="I13" s="23" t="s">
        <v>58</v>
      </c>
      <c r="J13" s="23"/>
      <c r="K13" s="23"/>
      <c r="L13" s="23"/>
      <c r="M13" s="23"/>
      <c r="N13" s="23"/>
      <c r="O13" s="23"/>
      <c r="P13" s="23"/>
      <c r="Q13" s="23" t="s">
        <v>58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 t="str">
        <f aca="false">IF(AND($A13="",COUNTIF(H13:V13,"x")=0),"",IF(AND($A13&lt;&gt;"",COUNTIF(H13:V13,"x")&gt;0),"OK","Falta"))</f>
        <v>OK</v>
      </c>
      <c r="AE13" s="1" t="s">
        <v>104</v>
      </c>
    </row>
    <row r="14" customFormat="false" ht="15" hidden="false" customHeight="true" outlineLevel="0" collapsed="false">
      <c r="A14" s="17" t="s">
        <v>105</v>
      </c>
      <c r="B14" s="21" t="s">
        <v>106</v>
      </c>
      <c r="C14" s="22" t="s">
        <v>107</v>
      </c>
      <c r="D14" s="17" t="s">
        <v>63</v>
      </c>
      <c r="E14" s="23" t="n">
        <v>60</v>
      </c>
      <c r="F14" s="17" t="s">
        <v>100</v>
      </c>
      <c r="G14" s="23"/>
      <c r="H14" s="23"/>
      <c r="I14" s="23" t="s">
        <v>58</v>
      </c>
      <c r="J14" s="23"/>
      <c r="K14" s="23"/>
      <c r="L14" s="23"/>
      <c r="M14" s="23"/>
      <c r="N14" s="23"/>
      <c r="O14" s="23"/>
      <c r="P14" s="23"/>
      <c r="Q14" s="23" t="s">
        <v>58</v>
      </c>
      <c r="R14" s="23"/>
      <c r="S14" s="23" t="s">
        <v>58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 t="str">
        <f aca="false">IF(AND($A14="",COUNTIF(H14:V14,"x")=0),"",IF(AND($A14&lt;&gt;"",COUNTIF(H14:V14,"x")&gt;0),"OK","Falta"))</f>
        <v>OK</v>
      </c>
      <c r="AE14" s="1" t="s">
        <v>108</v>
      </c>
    </row>
    <row r="15" customFormat="false" ht="15" hidden="false" customHeight="true" outlineLevel="0" collapsed="false">
      <c r="A15" s="17" t="s">
        <v>109</v>
      </c>
      <c r="B15" s="21" t="s">
        <v>110</v>
      </c>
      <c r="C15" s="22" t="s">
        <v>111</v>
      </c>
      <c r="D15" s="17" t="s">
        <v>91</v>
      </c>
      <c r="E15" s="23" t="n">
        <v>60</v>
      </c>
      <c r="F15" s="17" t="s">
        <v>100</v>
      </c>
      <c r="G15" s="23"/>
      <c r="H15" s="23"/>
      <c r="I15" s="23" t="s">
        <v>58</v>
      </c>
      <c r="J15" s="23"/>
      <c r="K15" s="23"/>
      <c r="L15" s="23"/>
      <c r="M15" s="23"/>
      <c r="N15" s="23"/>
      <c r="O15" s="23"/>
      <c r="P15" s="23"/>
      <c r="Q15" s="23" t="s">
        <v>58</v>
      </c>
      <c r="R15" s="23"/>
      <c r="S15" s="23"/>
      <c r="T15" s="23"/>
      <c r="U15" s="23"/>
      <c r="V15" s="23" t="s">
        <v>58</v>
      </c>
      <c r="W15" s="23"/>
      <c r="X15" s="23"/>
      <c r="Y15" s="23"/>
      <c r="Z15" s="23"/>
      <c r="AA15" s="23"/>
      <c r="AB15" s="23"/>
      <c r="AC15" s="23"/>
      <c r="AD15" s="23" t="str">
        <f aca="false">IF(AND($A15="",COUNTIF(H15:V15,"x")=0),"",IF(AND($A15&lt;&gt;"",COUNTIF(H15:V15,"x")&gt;0),"OK","Falta"))</f>
        <v>OK</v>
      </c>
      <c r="AE15" s="24" t="s">
        <v>112</v>
      </c>
    </row>
    <row r="16" customFormat="false" ht="15" hidden="false" customHeight="true" outlineLevel="0" collapsed="false">
      <c r="A16" s="17" t="s">
        <v>113</v>
      </c>
      <c r="B16" s="21" t="s">
        <v>114</v>
      </c>
      <c r="C16" s="22" t="s">
        <v>115</v>
      </c>
      <c r="D16" s="17" t="s">
        <v>91</v>
      </c>
      <c r="E16" s="23" t="n">
        <v>60</v>
      </c>
      <c r="F16" s="17" t="s">
        <v>100</v>
      </c>
      <c r="G16" s="23"/>
      <c r="H16" s="23"/>
      <c r="I16" s="23" t="s">
        <v>58</v>
      </c>
      <c r="J16" s="23"/>
      <c r="K16" s="23"/>
      <c r="L16" s="23"/>
      <c r="M16" s="23"/>
      <c r="N16" s="23"/>
      <c r="O16" s="23"/>
      <c r="P16" s="23"/>
      <c r="Q16" s="23" t="s">
        <v>58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 t="str">
        <f aca="false">IF(AND($A16="",COUNTIF(H16:V16,"x")=0),"",IF(AND($A16&lt;&gt;"",COUNTIF(H16:V16,"x")&gt;0),"OK","Falta"))</f>
        <v>OK</v>
      </c>
      <c r="AE16" s="1" t="s">
        <v>116</v>
      </c>
    </row>
    <row r="17" customFormat="false" ht="15" hidden="false" customHeight="true" outlineLevel="0" collapsed="false">
      <c r="A17" s="17" t="s">
        <v>117</v>
      </c>
      <c r="B17" s="21" t="s">
        <v>118</v>
      </c>
      <c r="C17" s="22" t="s">
        <v>119</v>
      </c>
      <c r="D17" s="17" t="s">
        <v>91</v>
      </c>
      <c r="E17" s="23" t="n">
        <v>60</v>
      </c>
      <c r="F17" s="17" t="s">
        <v>100</v>
      </c>
      <c r="G17" s="23"/>
      <c r="H17" s="23"/>
      <c r="I17" s="23" t="s">
        <v>58</v>
      </c>
      <c r="J17" s="23"/>
      <c r="K17" s="23"/>
      <c r="L17" s="23"/>
      <c r="M17" s="23"/>
      <c r="N17" s="23"/>
      <c r="O17" s="23"/>
      <c r="P17" s="23"/>
      <c r="Q17" s="23" t="s">
        <v>58</v>
      </c>
      <c r="R17" s="23"/>
      <c r="S17" s="23"/>
      <c r="T17" s="23"/>
      <c r="U17" s="23"/>
      <c r="V17" s="23" t="s">
        <v>58</v>
      </c>
      <c r="W17" s="23"/>
      <c r="X17" s="23"/>
      <c r="Y17" s="23"/>
      <c r="Z17" s="23"/>
      <c r="AA17" s="23"/>
      <c r="AB17" s="23"/>
      <c r="AC17" s="23"/>
      <c r="AD17" s="23" t="str">
        <f aca="false">IF(AND($A17="",COUNTIF(H17:V17,"x")=0),"",IF(AND($A17&lt;&gt;"",COUNTIF(H17:V17,"x")&gt;0),"OK","Falta"))</f>
        <v>OK</v>
      </c>
      <c r="AE17" s="24" t="s">
        <v>120</v>
      </c>
    </row>
    <row r="18" customFormat="false" ht="15" hidden="false" customHeight="true" outlineLevel="0" collapsed="false">
      <c r="A18" s="17" t="s">
        <v>121</v>
      </c>
      <c r="B18" s="21" t="s">
        <v>122</v>
      </c>
      <c r="C18" s="22" t="s">
        <v>123</v>
      </c>
      <c r="D18" s="17" t="s">
        <v>63</v>
      </c>
      <c r="E18" s="23" t="n">
        <v>60</v>
      </c>
      <c r="F18" s="17" t="s">
        <v>100</v>
      </c>
      <c r="G18" s="23"/>
      <c r="H18" s="23" t="s">
        <v>58</v>
      </c>
      <c r="I18" s="23" t="s">
        <v>58</v>
      </c>
      <c r="J18" s="23"/>
      <c r="K18" s="23"/>
      <c r="L18" s="23"/>
      <c r="M18" s="23"/>
      <c r="N18" s="23"/>
      <c r="O18" s="23"/>
      <c r="P18" s="23" t="s">
        <v>58</v>
      </c>
      <c r="Q18" s="23" t="s">
        <v>58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 t="str">
        <f aca="false">IF(AND($A18="",COUNTIF(H18:V18,"x")=0),"",IF(AND($A18&lt;&gt;"",COUNTIF(H18:V18,"x")&gt;0),"OK","Falta"))</f>
        <v>OK</v>
      </c>
    </row>
    <row r="19" customFormat="false" ht="15" hidden="false" customHeight="true" outlineLevel="0" collapsed="false">
      <c r="A19" s="17" t="s">
        <v>124</v>
      </c>
      <c r="B19" s="21" t="s">
        <v>125</v>
      </c>
      <c r="C19" s="22" t="s">
        <v>126</v>
      </c>
      <c r="D19" s="17" t="s">
        <v>63</v>
      </c>
      <c r="E19" s="23" t="n">
        <v>90</v>
      </c>
      <c r="F19" s="17" t="s">
        <v>127</v>
      </c>
      <c r="G19" s="23"/>
      <c r="H19" s="23"/>
      <c r="I19" s="23"/>
      <c r="J19" s="23" t="s">
        <v>58</v>
      </c>
      <c r="K19" s="23"/>
      <c r="L19" s="23"/>
      <c r="M19" s="23"/>
      <c r="N19" s="23" t="s">
        <v>58</v>
      </c>
      <c r="O19" s="23"/>
      <c r="P19" s="23"/>
      <c r="Q19" s="23" t="s">
        <v>58</v>
      </c>
      <c r="R19" s="23"/>
      <c r="S19" s="23" t="s">
        <v>58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 t="str">
        <f aca="false">IF(AND($A19="",COUNTIF(H19:V19,"x")=0),"",IF(AND($A19&lt;&gt;"",COUNTIF(H19:V19,"x")&gt;0),"OK","Falta"))</f>
        <v>OK</v>
      </c>
    </row>
    <row r="20" customFormat="false" ht="15" hidden="false" customHeight="true" outlineLevel="0" collapsed="false">
      <c r="A20" s="17" t="s">
        <v>128</v>
      </c>
      <c r="B20" s="21" t="s">
        <v>129</v>
      </c>
      <c r="C20" s="22" t="s">
        <v>130</v>
      </c>
      <c r="D20" s="17" t="s">
        <v>82</v>
      </c>
      <c r="E20" s="23" t="n">
        <v>90</v>
      </c>
      <c r="F20" s="17" t="s">
        <v>127</v>
      </c>
      <c r="G20" s="23"/>
      <c r="H20" s="23"/>
      <c r="I20" s="23"/>
      <c r="J20" s="23" t="s">
        <v>58</v>
      </c>
      <c r="K20" s="23"/>
      <c r="L20" s="23"/>
      <c r="M20" s="23" t="s">
        <v>58</v>
      </c>
      <c r="N20" s="23"/>
      <c r="O20" s="23"/>
      <c r="P20" s="23"/>
      <c r="Q20" s="23" t="s">
        <v>58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 t="str">
        <f aca="false">IF(AND($A20="",COUNTIF(H20:V20,"x")=0),"",IF(AND($A20&lt;&gt;"",COUNTIF(H20:V20,"x")&gt;0),"OK","Falta"))</f>
        <v>OK</v>
      </c>
      <c r="AE20" s="1" t="s">
        <v>131</v>
      </c>
    </row>
    <row r="21" customFormat="false" ht="15" hidden="false" customHeight="true" outlineLevel="0" collapsed="false">
      <c r="A21" s="17" t="s">
        <v>132</v>
      </c>
      <c r="B21" s="21" t="s">
        <v>133</v>
      </c>
      <c r="C21" s="22" t="s">
        <v>134</v>
      </c>
      <c r="D21" s="17" t="s">
        <v>91</v>
      </c>
      <c r="E21" s="23" t="n">
        <v>60</v>
      </c>
      <c r="F21" s="17" t="s">
        <v>127</v>
      </c>
      <c r="G21" s="23"/>
      <c r="H21" s="23"/>
      <c r="I21" s="23"/>
      <c r="J21" s="23" t="s">
        <v>58</v>
      </c>
      <c r="K21" s="23"/>
      <c r="L21" s="23"/>
      <c r="M21" s="23"/>
      <c r="N21" s="23"/>
      <c r="O21" s="23"/>
      <c r="P21" s="23"/>
      <c r="Q21" s="23" t="s">
        <v>58</v>
      </c>
      <c r="R21" s="23"/>
      <c r="S21" s="23" t="s">
        <v>58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 t="str">
        <f aca="false">IF(AND($A21="",COUNTIF(H21:V21,"x")=0),"",IF(AND($A21&lt;&gt;"",COUNTIF(H21:V21,"x")&gt;0),"OK","Falta"))</f>
        <v>OK</v>
      </c>
      <c r="AE21" s="1" t="s">
        <v>135</v>
      </c>
    </row>
    <row r="22" customFormat="false" ht="15" hidden="false" customHeight="true" outlineLevel="0" collapsed="false">
      <c r="A22" s="17" t="s">
        <v>136</v>
      </c>
      <c r="B22" s="21" t="s">
        <v>137</v>
      </c>
      <c r="C22" s="22" t="s">
        <v>138</v>
      </c>
      <c r="D22" s="17" t="s">
        <v>63</v>
      </c>
      <c r="E22" s="23" t="n">
        <v>60</v>
      </c>
      <c r="F22" s="17" t="s">
        <v>127</v>
      </c>
      <c r="G22" s="23"/>
      <c r="H22" s="23"/>
      <c r="I22" s="23"/>
      <c r="J22" s="23" t="s">
        <v>58</v>
      </c>
      <c r="K22" s="23"/>
      <c r="L22" s="23"/>
      <c r="M22" s="23"/>
      <c r="N22" s="23"/>
      <c r="O22" s="23"/>
      <c r="P22" s="23"/>
      <c r="Q22" s="23" t="s">
        <v>58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 t="str">
        <f aca="false">IF(AND($A22="",COUNTIF(H22:V22,"x")=0),"",IF(AND($A22&lt;&gt;"",COUNTIF(H22:V22,"x")&gt;0),"OK","Falta"))</f>
        <v>OK</v>
      </c>
    </row>
    <row r="23" customFormat="false" ht="15" hidden="false" customHeight="true" outlineLevel="0" collapsed="false">
      <c r="A23" s="17"/>
      <c r="B23" s="21"/>
      <c r="C23" s="21"/>
      <c r="D23" s="17"/>
      <c r="E23" s="23"/>
      <c r="F23" s="17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 t="str">
        <f aca="false">IF(AND($A23="",COUNTIF(H23:V23,"x")=0),"",IF(AND($A23&lt;&gt;"",COUNTIF(H23:V23,"x")&gt;0),"OK","Falta"))</f>
        <v/>
      </c>
    </row>
    <row r="24" customFormat="false" ht="15" hidden="false" customHeight="true" outlineLevel="0" collapsed="false">
      <c r="A24" s="17"/>
      <c r="B24" s="21"/>
      <c r="C24" s="21"/>
      <c r="D24" s="17"/>
      <c r="E24" s="23"/>
      <c r="F24" s="17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 t="str">
        <f aca="false">IF(AND($A24="",COUNTIF(H24:V24,"x")=0),"",IF(AND($A24&lt;&gt;"",COUNTIF(H24:V24,"x")&gt;0),"OK","Falta"))</f>
        <v/>
      </c>
    </row>
    <row r="25" customFormat="false" ht="15" hidden="false" customHeight="true" outlineLevel="0" collapsed="false">
      <c r="A25" s="17"/>
      <c r="B25" s="21"/>
      <c r="C25" s="21"/>
      <c r="D25" s="17"/>
      <c r="E25" s="23"/>
      <c r="F25" s="1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 t="str">
        <f aca="false">IF(AND($A25="",COUNTIF(H25:V25,"x")=0),"",IF(AND($A25&lt;&gt;"",COUNTIF(H25:V25,"x")&gt;0),"OK","Falta"))</f>
        <v/>
      </c>
    </row>
    <row r="26" customFormat="false" ht="15" hidden="false" customHeight="true" outlineLevel="0" collapsed="false">
      <c r="A26" s="17"/>
      <c r="B26" s="21"/>
      <c r="C26" s="21"/>
      <c r="D26" s="17"/>
      <c r="E26" s="23"/>
      <c r="F26" s="17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 t="str">
        <f aca="false">IF(AND($A26="",COUNTIF(H26:V26,"x")=0),"",IF(AND($A26&lt;&gt;"",COUNTIF(H26:V26,"x")&gt;0),"OK","Falta"))</f>
        <v/>
      </c>
    </row>
    <row r="27" customFormat="false" ht="15" hidden="false" customHeight="true" outlineLevel="0" collapsed="false">
      <c r="A27" s="17"/>
      <c r="B27" s="21"/>
      <c r="C27" s="21"/>
      <c r="D27" s="17"/>
      <c r="E27" s="23"/>
      <c r="F27" s="17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 t="str">
        <f aca="false">IF(AND($A27="",COUNTIF(H27:V27,"x")=0),"",IF(AND($A27&lt;&gt;"",COUNTIF(H27:V27,"x")&gt;0),"OK","Falta"))</f>
        <v/>
      </c>
    </row>
    <row r="28" customFormat="false" ht="15" hidden="false" customHeight="true" outlineLevel="0" collapsed="false">
      <c r="A28" s="17"/>
      <c r="B28" s="21"/>
      <c r="C28" s="21"/>
      <c r="D28" s="17"/>
      <c r="E28" s="23"/>
      <c r="F28" s="17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 t="str">
        <f aca="false">IF(AND($A28="",COUNTIF(H28:V28,"x")=0),"",IF(AND($A28&lt;&gt;"",COUNTIF(H28:V28,"x")&gt;0),"OK","Falta"))</f>
        <v/>
      </c>
    </row>
    <row r="29" customFormat="false" ht="15" hidden="false" customHeight="true" outlineLevel="0" collapsed="false">
      <c r="A29" s="17"/>
      <c r="B29" s="21"/>
      <c r="C29" s="21"/>
      <c r="D29" s="17"/>
      <c r="E29" s="23"/>
      <c r="F29" s="17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 t="str">
        <f aca="false">IF(AND($A29="",COUNTIF(H29:V29,"x")=0),"",IF(AND($A29&lt;&gt;"",COUNTIF(H29:V29,"x")&gt;0),"OK","Falta"))</f>
        <v/>
      </c>
    </row>
    <row r="30" customFormat="false" ht="15" hidden="false" customHeight="true" outlineLevel="0" collapsed="false">
      <c r="A30" s="17"/>
      <c r="B30" s="21"/>
      <c r="C30" s="21"/>
      <c r="D30" s="17"/>
      <c r="E30" s="23"/>
      <c r="F30" s="17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 t="str">
        <f aca="false">IF(AND($A30="",COUNTIF(H30:V30,"x")=0),"",IF(AND($A30&lt;&gt;"",COUNTIF(H30:V30,"x")&gt;0),"OK","Falta"))</f>
        <v/>
      </c>
    </row>
    <row r="31" customFormat="false" ht="15" hidden="false" customHeight="true" outlineLevel="0" collapsed="false">
      <c r="A31" s="17"/>
      <c r="B31" s="21"/>
      <c r="C31" s="21"/>
      <c r="D31" s="17"/>
      <c r="E31" s="23"/>
      <c r="F31" s="17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 t="str">
        <f aca="false">IF(AND($A31="",COUNTIF(H31:V31,"x")=0),"",IF(AND($A31&lt;&gt;"",COUNTIF(H31:V31,"x")&gt;0),"OK","Falta"))</f>
        <v/>
      </c>
    </row>
    <row r="32" customFormat="false" ht="15" hidden="false" customHeight="true" outlineLevel="0" collapsed="false">
      <c r="A32" s="17"/>
      <c r="B32" s="21"/>
      <c r="C32" s="21"/>
      <c r="D32" s="17"/>
      <c r="E32" s="23"/>
      <c r="F32" s="17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 t="str">
        <f aca="false">IF(AND($A32="",COUNTIF(H32:V32,"x")=0),"",IF(AND($A32&lt;&gt;"",COUNTIF(H32:V32,"x")&gt;0),"OK","Falta"))</f>
        <v/>
      </c>
    </row>
    <row r="33" customFormat="false" ht="15" hidden="false" customHeight="true" outlineLevel="0" collapsed="false">
      <c r="A33" s="17"/>
      <c r="B33" s="21"/>
      <c r="C33" s="21"/>
      <c r="D33" s="17"/>
      <c r="E33" s="23"/>
      <c r="F33" s="17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 t="str">
        <f aca="false">IF(AND($A33="",COUNTIF(H33:V33,"x")=0),"",IF(AND($A33&lt;&gt;"",COUNTIF(H33:V33,"x")&gt;0),"OK","Falta"))</f>
        <v/>
      </c>
    </row>
    <row r="34" customFormat="false" ht="15" hidden="false" customHeight="true" outlineLevel="0" collapsed="false">
      <c r="A34" s="17"/>
      <c r="B34" s="21"/>
      <c r="C34" s="21"/>
      <c r="D34" s="17"/>
      <c r="E34" s="23"/>
      <c r="F34" s="17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 t="str">
        <f aca="false">IF(AND($A34="",COUNTIF(H34:V34,"x")=0),"",IF(AND($A34&lt;&gt;"",COUNTIF(H34:V34,"x")&gt;0),"OK","Falta"))</f>
        <v/>
      </c>
    </row>
    <row r="35" customFormat="false" ht="15" hidden="false" customHeight="true" outlineLevel="0" collapsed="false">
      <c r="A35" s="17"/>
      <c r="B35" s="21"/>
      <c r="C35" s="21"/>
      <c r="D35" s="17"/>
      <c r="E35" s="23"/>
      <c r="F35" s="17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 t="str">
        <f aca="false">IF(AND($A35="",COUNTIF(H35:V35,"x")=0),"",IF(AND($A35&lt;&gt;"",COUNTIF(H35:V35,"x")&gt;0),"OK","Falta"))</f>
        <v/>
      </c>
    </row>
    <row r="36" customFormat="false" ht="15" hidden="false" customHeight="true" outlineLevel="0" collapsed="false">
      <c r="A36" s="17"/>
      <c r="B36" s="21"/>
      <c r="C36" s="21"/>
      <c r="D36" s="17"/>
      <c r="E36" s="23"/>
      <c r="F36" s="17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 t="str">
        <f aca="false">IF(AND($A36="",COUNTIF(H36:V36,"x")=0),"",IF(AND($A36&lt;&gt;"",COUNTIF(H36:V36,"x")&gt;0),"OK","Falta"))</f>
        <v/>
      </c>
    </row>
    <row r="37" customFormat="false" ht="15" hidden="false" customHeight="true" outlineLevel="0" collapsed="false">
      <c r="A37" s="17"/>
      <c r="B37" s="21"/>
      <c r="C37" s="21"/>
      <c r="D37" s="17"/>
      <c r="E37" s="23"/>
      <c r="F37" s="17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 t="str">
        <f aca="false">IF(AND($A37="",COUNTIF(H37:V37,"x")=0),"",IF(AND($A37&lt;&gt;"",COUNTIF(H37:V37,"x")&gt;0),"OK","Falta"))</f>
        <v/>
      </c>
    </row>
    <row r="38" customFormat="false" ht="15" hidden="false" customHeight="true" outlineLevel="0" collapsed="false">
      <c r="A38" s="17"/>
      <c r="B38" s="21"/>
      <c r="C38" s="21"/>
      <c r="D38" s="17"/>
      <c r="E38" s="23"/>
      <c r="F38" s="17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 t="str">
        <f aca="false">IF(AND($A38="",COUNTIF(H38:V38,"x")=0),"",IF(AND($A38&lt;&gt;"",COUNTIF(H38:V38,"x")&gt;0),"OK","Falta"))</f>
        <v/>
      </c>
    </row>
    <row r="39" customFormat="false" ht="15" hidden="false" customHeight="true" outlineLevel="0" collapsed="false">
      <c r="A39" s="17"/>
      <c r="B39" s="21"/>
      <c r="C39" s="21"/>
      <c r="D39" s="17"/>
      <c r="E39" s="23"/>
      <c r="F39" s="17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 t="str">
        <f aca="false">IF(AND($A39="",COUNTIF(H39:V39,"x")=0),"",IF(AND($A39&lt;&gt;"",COUNTIF(H39:V39,"x")&gt;0),"OK","Falta"))</f>
        <v/>
      </c>
    </row>
    <row r="40" customFormat="false" ht="15" hidden="false" customHeight="true" outlineLevel="0" collapsed="false">
      <c r="A40" s="17"/>
      <c r="B40" s="21"/>
      <c r="C40" s="21"/>
      <c r="D40" s="17"/>
      <c r="E40" s="23"/>
      <c r="F40" s="17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 t="str">
        <f aca="false">IF(AND($A40="",COUNTIF(H40:V40,"x")=0),"",IF(AND($A40&lt;&gt;"",COUNTIF(H40:V40,"x")&gt;0),"OK","Falta"))</f>
        <v/>
      </c>
    </row>
    <row r="41" customFormat="false" ht="15" hidden="false" customHeight="true" outlineLevel="0" collapsed="false">
      <c r="A41" s="17"/>
      <c r="B41" s="21"/>
      <c r="C41" s="21"/>
      <c r="D41" s="17"/>
      <c r="E41" s="23"/>
      <c r="F41" s="17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 t="str">
        <f aca="false">IF(AND($A41="",COUNTIF(H41:V41,"x")=0),"",IF(AND($A41&lt;&gt;"",COUNTIF(H41:V41,"x")&gt;0),"OK","Falta"))</f>
        <v/>
      </c>
    </row>
    <row r="42" customFormat="false" ht="15" hidden="false" customHeight="true" outlineLevel="0" collapsed="false">
      <c r="A42" s="17"/>
      <c r="B42" s="21"/>
      <c r="C42" s="21"/>
      <c r="D42" s="17"/>
      <c r="E42" s="23"/>
      <c r="F42" s="17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 t="str">
        <f aca="false">IF(AND($A42="",COUNTIF(H42:V42,"x")=0),"",IF(AND($A42&lt;&gt;"",COUNTIF(H42:V42,"x")&gt;0),"OK","Falta"))</f>
        <v/>
      </c>
    </row>
    <row r="43" customFormat="false" ht="15" hidden="false" customHeight="true" outlineLevel="0" collapsed="false">
      <c r="A43" s="17"/>
      <c r="B43" s="21"/>
      <c r="C43" s="21"/>
      <c r="D43" s="17"/>
      <c r="E43" s="23"/>
      <c r="F43" s="17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 t="str">
        <f aca="false">IF(AND($A43="",COUNTIF(H43:V43,"x")=0),"",IF(AND($A43&lt;&gt;"",COUNTIF(H43:V43,"x")&gt;0),"OK","Falta"))</f>
        <v/>
      </c>
    </row>
    <row r="44" customFormat="false" ht="15" hidden="false" customHeight="true" outlineLevel="0" collapsed="false">
      <c r="A44" s="17"/>
      <c r="B44" s="21"/>
      <c r="C44" s="21"/>
      <c r="D44" s="17"/>
      <c r="E44" s="23"/>
      <c r="F44" s="17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 t="str">
        <f aca="false">IF(AND($A44="",COUNTIF(H44:V44,"x")=0),"",IF(AND($A44&lt;&gt;"",COUNTIF(H44:V44,"x")&gt;0),"OK","Falta"))</f>
        <v/>
      </c>
    </row>
    <row r="45" customFormat="false" ht="15" hidden="false" customHeight="true" outlineLevel="0" collapsed="false">
      <c r="A45" s="17"/>
      <c r="B45" s="21"/>
      <c r="C45" s="21"/>
      <c r="D45" s="17"/>
      <c r="E45" s="23"/>
      <c r="F45" s="17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 t="str">
        <f aca="false">IF(AND($A45="",COUNTIF(H45:V45,"x")=0),"",IF(AND($A45&lt;&gt;"",COUNTIF(H45:V45,"x")&gt;0),"OK","Falta"))</f>
        <v/>
      </c>
    </row>
    <row r="46" customFormat="false" ht="15" hidden="false" customHeight="true" outlineLevel="0" collapsed="false">
      <c r="A46" s="17"/>
      <c r="B46" s="21"/>
      <c r="C46" s="21"/>
      <c r="D46" s="17"/>
      <c r="E46" s="23"/>
      <c r="F46" s="17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 t="str">
        <f aca="false">IF(AND($A46="",COUNTIF(H46:V46,"x")=0),"",IF(AND($A46&lt;&gt;"",COUNTIF(H46:V46,"x")&gt;0),"OK","Falta"))</f>
        <v/>
      </c>
    </row>
    <row r="47" customFormat="false" ht="15" hidden="false" customHeight="true" outlineLevel="0" collapsed="false">
      <c r="A47" s="17"/>
      <c r="B47" s="21"/>
      <c r="C47" s="21"/>
      <c r="D47" s="17"/>
      <c r="E47" s="23"/>
      <c r="F47" s="17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 t="str">
        <f aca="false">IF(AND($A47="",COUNTIF(H47:V47,"x")=0),"",IF(AND($A47&lt;&gt;"",COUNTIF(H47:V47,"x")&gt;0),"OK","Falta"))</f>
        <v/>
      </c>
    </row>
    <row r="48" customFormat="false" ht="15" hidden="false" customHeight="true" outlineLevel="0" collapsed="false">
      <c r="A48" s="17"/>
      <c r="B48" s="21"/>
      <c r="C48" s="21"/>
      <c r="D48" s="17"/>
      <c r="E48" s="23"/>
      <c r="F48" s="17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 t="str">
        <f aca="false">IF(AND($A48="",COUNTIF(H48:V48,"x")=0),"",IF(AND($A48&lt;&gt;"",COUNTIF(H48:V48,"x")&gt;0),"OK","Falta"))</f>
        <v/>
      </c>
    </row>
    <row r="49" customFormat="false" ht="15" hidden="false" customHeight="true" outlineLevel="0" collapsed="false">
      <c r="A49" s="17"/>
      <c r="B49" s="21"/>
      <c r="C49" s="21"/>
      <c r="D49" s="17"/>
      <c r="E49" s="23"/>
      <c r="F49" s="17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 t="str">
        <f aca="false">IF(AND($A49="",COUNTIF(H49:V49,"x")=0),"",IF(AND($A49&lt;&gt;"",COUNTIF(H49:V49,"x")&gt;0),"OK","Falta"))</f>
        <v/>
      </c>
    </row>
    <row r="50" customFormat="false" ht="15" hidden="false" customHeight="true" outlineLevel="0" collapsed="false">
      <c r="A50" s="17"/>
      <c r="B50" s="21"/>
      <c r="C50" s="21"/>
      <c r="D50" s="17"/>
      <c r="E50" s="23"/>
      <c r="F50" s="17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 t="str">
        <f aca="false">IF(AND($A50="",COUNTIF(H50:V50,"x")=0),"",IF(AND($A50&lt;&gt;"",COUNTIF(H50:V50,"x")&gt;0),"OK","Falta"))</f>
        <v/>
      </c>
    </row>
    <row r="51" customFormat="false" ht="15" hidden="false" customHeight="true" outlineLevel="0" collapsed="false">
      <c r="A51" s="17"/>
      <c r="B51" s="21"/>
      <c r="C51" s="21"/>
      <c r="D51" s="17"/>
      <c r="E51" s="23"/>
      <c r="F51" s="17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 t="str">
        <f aca="false">IF(AND($A51="",COUNTIF(H51:V51,"x")=0),"",IF(AND($A51&lt;&gt;"",COUNTIF(H51:V51,"x")&gt;0),"OK","Falta"))</f>
        <v/>
      </c>
    </row>
    <row r="52" customFormat="false" ht="15" hidden="false" customHeight="true" outlineLevel="0" collapsed="false">
      <c r="A52" s="17"/>
      <c r="B52" s="21"/>
      <c r="C52" s="21"/>
      <c r="D52" s="17"/>
      <c r="E52" s="23"/>
      <c r="F52" s="17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 t="str">
        <f aca="false">IF(AND($A52="",COUNTIF(H52:V52,"x")=0),"",IF(AND($A52&lt;&gt;"",COUNTIF(H52:V52,"x")&gt;0),"OK","Falta"))</f>
        <v/>
      </c>
    </row>
    <row r="53" customFormat="false" ht="15" hidden="false" customHeight="true" outlineLevel="0" collapsed="false">
      <c r="A53" s="17"/>
      <c r="B53" s="21"/>
      <c r="C53" s="21"/>
      <c r="D53" s="17"/>
      <c r="E53" s="23"/>
      <c r="F53" s="17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 t="str">
        <f aca="false">IF(AND($A53="",COUNTIF(H53:V53,"x")=0),"",IF(AND($A53&lt;&gt;"",COUNTIF(H53:V53,"x")&gt;0),"OK","Falta"))</f>
        <v/>
      </c>
    </row>
    <row r="54" customFormat="false" ht="15" hidden="false" customHeight="true" outlineLevel="0" collapsed="false">
      <c r="A54" s="17"/>
      <c r="B54" s="21"/>
      <c r="C54" s="21"/>
      <c r="D54" s="17"/>
      <c r="E54" s="23"/>
      <c r="F54" s="17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 t="str">
        <f aca="false">IF(AND($A54="",COUNTIF(H54:V54,"x")=0),"",IF(AND($A54&lt;&gt;"",COUNTIF(H54:V54,"x")&gt;0),"OK","Falta"))</f>
        <v/>
      </c>
    </row>
    <row r="55" customFormat="false" ht="15" hidden="false" customHeight="true" outlineLevel="0" collapsed="false">
      <c r="A55" s="17"/>
      <c r="B55" s="21"/>
      <c r="C55" s="21"/>
      <c r="D55" s="17"/>
      <c r="E55" s="23"/>
      <c r="F55" s="17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 t="str">
        <f aca="false">IF(AND($A55="",COUNTIF(H55:V55,"x")=0),"",IF(AND($A55&lt;&gt;"",COUNTIF(H55:V55,"x")&gt;0),"OK","Falta"))</f>
        <v/>
      </c>
    </row>
    <row r="56" customFormat="false" ht="15" hidden="false" customHeight="true" outlineLevel="0" collapsed="false">
      <c r="A56" s="17"/>
      <c r="B56" s="21"/>
      <c r="C56" s="21"/>
      <c r="D56" s="17"/>
      <c r="E56" s="23"/>
      <c r="F56" s="17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 t="str">
        <f aca="false">IF(AND($A56="",COUNTIF(H56:V56,"x")=0),"",IF(AND($A56&lt;&gt;"",COUNTIF(H56:V56,"x")&gt;0),"OK","Falta"))</f>
        <v/>
      </c>
    </row>
    <row r="57" customFormat="false" ht="15" hidden="false" customHeight="true" outlineLevel="0" collapsed="false">
      <c r="A57" s="17"/>
      <c r="B57" s="21"/>
      <c r="C57" s="21"/>
      <c r="D57" s="17"/>
      <c r="E57" s="23"/>
      <c r="F57" s="17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 t="str">
        <f aca="false">IF(AND($A57="",COUNTIF(H57:V57,"x")=0),"",IF(AND($A57&lt;&gt;"",COUNTIF(H57:V57,"x")&gt;0),"OK","Falta"))</f>
        <v/>
      </c>
    </row>
    <row r="58" customFormat="false" ht="15" hidden="false" customHeight="true" outlineLevel="0" collapsed="false">
      <c r="A58" s="17"/>
      <c r="B58" s="21"/>
      <c r="C58" s="21"/>
      <c r="D58" s="17"/>
      <c r="E58" s="23"/>
      <c r="F58" s="17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 t="str">
        <f aca="false">IF(AND($A58="",COUNTIF(H58:V58,"x")=0),"",IF(AND($A58&lt;&gt;"",COUNTIF(H58:V58,"x")&gt;0),"OK","Falta"))</f>
        <v/>
      </c>
    </row>
    <row r="59" customFormat="false" ht="15" hidden="false" customHeight="true" outlineLevel="0" collapsed="false">
      <c r="A59" s="17"/>
      <c r="B59" s="21"/>
      <c r="C59" s="21"/>
      <c r="D59" s="17"/>
      <c r="E59" s="23"/>
      <c r="F59" s="17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 t="str">
        <f aca="false">IF(AND($A59="",COUNTIF(H59:V59,"x")=0),"",IF(AND($A59&lt;&gt;"",COUNTIF(H59:V59,"x")&gt;0),"OK","Falta"))</f>
        <v/>
      </c>
    </row>
    <row r="60" customFormat="false" ht="15" hidden="false" customHeight="true" outlineLevel="0" collapsed="false">
      <c r="A60" s="17"/>
      <c r="B60" s="21"/>
      <c r="C60" s="21"/>
      <c r="D60" s="17"/>
      <c r="E60" s="23"/>
      <c r="F60" s="17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 t="str">
        <f aca="false">IF(AND($A60="",COUNTIF(H60:V60,"x")=0),"",IF(AND($A60&lt;&gt;"",COUNTIF(H60:V60,"x")&gt;0),"OK","Falta"))</f>
        <v/>
      </c>
    </row>
    <row r="61" customFormat="false" ht="15" hidden="false" customHeight="true" outlineLevel="0" collapsed="false">
      <c r="A61" s="17"/>
      <c r="B61" s="21"/>
      <c r="C61" s="21"/>
      <c r="D61" s="17"/>
      <c r="E61" s="23"/>
      <c r="F61" s="17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 t="str">
        <f aca="false">IF(AND($A61="",COUNTIF(H61:V61,"x")=0),"",IF(AND($A61&lt;&gt;"",COUNTIF(H61:V61,"x")&gt;0),"OK","Falta"))</f>
        <v/>
      </c>
    </row>
    <row r="62" customFormat="false" ht="15" hidden="false" customHeight="true" outlineLevel="0" collapsed="false">
      <c r="A62" s="17"/>
      <c r="B62" s="21"/>
      <c r="C62" s="21"/>
      <c r="D62" s="17"/>
      <c r="E62" s="23"/>
      <c r="F62" s="17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 t="str">
        <f aca="false">IF(AND($A62="",COUNTIF(H62:V62,"x")=0),"",IF(AND($A62&lt;&gt;"",COUNTIF(H62:V62,"x")&gt;0),"OK","Falta"))</f>
        <v/>
      </c>
    </row>
    <row r="63" customFormat="false" ht="15" hidden="false" customHeight="true" outlineLevel="0" collapsed="false">
      <c r="A63" s="17"/>
      <c r="B63" s="21"/>
      <c r="C63" s="21"/>
      <c r="D63" s="17"/>
      <c r="E63" s="23"/>
      <c r="F63" s="17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 t="str">
        <f aca="false">IF(AND($A63="",COUNTIF(H63:V63,"x")=0),"",IF(AND($A63&lt;&gt;"",COUNTIF(H63:V63,"x")&gt;0),"OK","Falta"))</f>
        <v/>
      </c>
    </row>
    <row r="64" customFormat="false" ht="15" hidden="false" customHeight="true" outlineLevel="0" collapsed="false">
      <c r="A64" s="17"/>
      <c r="B64" s="21"/>
      <c r="C64" s="21"/>
      <c r="D64" s="17"/>
      <c r="E64" s="23"/>
      <c r="F64" s="17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 t="str">
        <f aca="false">IF(AND($A64="",COUNTIF(H64:V64,"x")=0),"",IF(AND($A64&lt;&gt;"",COUNTIF(H64:V64,"x")&gt;0),"OK","Falta"))</f>
        <v/>
      </c>
    </row>
    <row r="65" customFormat="false" ht="15" hidden="false" customHeight="true" outlineLevel="0" collapsed="false">
      <c r="A65" s="17"/>
      <c r="B65" s="21"/>
      <c r="C65" s="21"/>
      <c r="D65" s="17"/>
      <c r="E65" s="23"/>
      <c r="F65" s="17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 t="str">
        <f aca="false">IF(AND($A65="",COUNTIF(H65:V65,"x")=0),"",IF(AND($A65&lt;&gt;"",COUNTIF(H65:V65,"x")&gt;0),"OK","Falta"))</f>
        <v/>
      </c>
    </row>
    <row r="66" customFormat="false" ht="15" hidden="false" customHeight="true" outlineLevel="0" collapsed="false">
      <c r="A66" s="17"/>
      <c r="B66" s="21"/>
      <c r="C66" s="21"/>
      <c r="D66" s="17"/>
      <c r="E66" s="23"/>
      <c r="F66" s="17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 t="str">
        <f aca="false">IF(AND($A66="",COUNTIF(H66:V66,"x")=0),"",IF(AND($A66&lt;&gt;"",COUNTIF(H66:V66,"x")&gt;0),"OK","Falta"))</f>
        <v/>
      </c>
    </row>
    <row r="67" customFormat="false" ht="15" hidden="false" customHeight="true" outlineLevel="0" collapsed="false">
      <c r="A67" s="17"/>
      <c r="B67" s="21"/>
      <c r="C67" s="21"/>
      <c r="D67" s="17"/>
      <c r="E67" s="23"/>
      <c r="F67" s="17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 t="str">
        <f aca="false">IF(AND($A67="",COUNTIF(H67:V67,"x")=0),"",IF(AND($A67&lt;&gt;"",COUNTIF(H67:V67,"x")&gt;0),"OK","Falta"))</f>
        <v/>
      </c>
    </row>
    <row r="68" customFormat="false" ht="15" hidden="false" customHeight="true" outlineLevel="0" collapsed="false">
      <c r="A68" s="17"/>
      <c r="B68" s="21"/>
      <c r="C68" s="21"/>
      <c r="D68" s="17"/>
      <c r="E68" s="23"/>
      <c r="F68" s="17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 t="str">
        <f aca="false">IF(AND($A68="",COUNTIF(H68:V68,"x")=0),"",IF(AND($A68&lt;&gt;"",COUNTIF(H68:V68,"x")&gt;0),"OK","Falta"))</f>
        <v/>
      </c>
    </row>
    <row r="69" customFormat="false" ht="15" hidden="false" customHeight="true" outlineLevel="0" collapsed="false">
      <c r="A69" s="17"/>
      <c r="B69" s="21"/>
      <c r="C69" s="21"/>
      <c r="D69" s="17"/>
      <c r="E69" s="23"/>
      <c r="F69" s="17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 t="str">
        <f aca="false">IF(AND($A69="",COUNTIF(H69:V69,"x")=0),"",IF(AND($A69&lt;&gt;"",COUNTIF(H69:V69,"x")&gt;0),"OK","Falta"))</f>
        <v/>
      </c>
    </row>
    <row r="70" customFormat="false" ht="15" hidden="false" customHeight="true" outlineLevel="0" collapsed="false">
      <c r="A70" s="17"/>
      <c r="B70" s="21"/>
      <c r="C70" s="21"/>
      <c r="D70" s="17"/>
      <c r="E70" s="23"/>
      <c r="F70" s="17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 t="str">
        <f aca="false">IF(AND($A70="",COUNTIF(H70:V70,"x")=0),"",IF(AND($A70&lt;&gt;"",COUNTIF(H70:V70,"x")&gt;0),"OK","Falta"))</f>
        <v/>
      </c>
    </row>
    <row r="71" customFormat="false" ht="15" hidden="false" customHeight="true" outlineLevel="0" collapsed="false">
      <c r="A71" s="17"/>
      <c r="B71" s="21"/>
      <c r="C71" s="21"/>
      <c r="D71" s="17"/>
      <c r="E71" s="23"/>
      <c r="F71" s="17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 t="str">
        <f aca="false">IF(AND($A71="",COUNTIF(H71:V71,"x")=0),"",IF(AND($A71&lt;&gt;"",COUNTIF(H71:V71,"x")&gt;0),"OK","Falta"))</f>
        <v/>
      </c>
    </row>
    <row r="72" customFormat="false" ht="15" hidden="false" customHeight="true" outlineLevel="0" collapsed="false">
      <c r="A72" s="17"/>
      <c r="B72" s="21"/>
      <c r="C72" s="21"/>
      <c r="D72" s="17"/>
      <c r="E72" s="23"/>
      <c r="F72" s="17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 t="str">
        <f aca="false">IF(AND($A72="",COUNTIF(H72:V72,"x")=0),"",IF(AND($A72&lt;&gt;"",COUNTIF(H72:V72,"x")&gt;0),"OK","Falta"))</f>
        <v/>
      </c>
    </row>
    <row r="73" customFormat="false" ht="15" hidden="false" customHeight="true" outlineLevel="0" collapsed="false">
      <c r="A73" s="17"/>
      <c r="B73" s="21"/>
      <c r="C73" s="21"/>
      <c r="D73" s="17"/>
      <c r="E73" s="23"/>
      <c r="F73" s="17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 t="str">
        <f aca="false">IF(AND($A73="",COUNTIF(H73:V73,"x")=0),"",IF(AND($A73&lt;&gt;"",COUNTIF(H73:V73,"x")&gt;0),"OK","Falta"))</f>
        <v/>
      </c>
    </row>
    <row r="74" customFormat="false" ht="15" hidden="false" customHeight="true" outlineLevel="0" collapsed="false">
      <c r="A74" s="17"/>
      <c r="B74" s="21"/>
      <c r="C74" s="21"/>
      <c r="D74" s="17"/>
      <c r="E74" s="23"/>
      <c r="F74" s="17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 t="str">
        <f aca="false">IF(AND($A74="",COUNTIF(H74:V74,"x")=0),"",IF(AND($A74&lt;&gt;"",COUNTIF(H74:V74,"x")&gt;0),"OK","Falta"))</f>
        <v/>
      </c>
    </row>
    <row r="75" customFormat="false" ht="15" hidden="false" customHeight="true" outlineLevel="0" collapsed="false">
      <c r="A75" s="17"/>
      <c r="B75" s="21"/>
      <c r="C75" s="21"/>
      <c r="D75" s="17"/>
      <c r="E75" s="23"/>
      <c r="F75" s="17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 t="str">
        <f aca="false">IF(AND($A75="",COUNTIF(H75:V75,"x")=0),"",IF(AND($A75&lt;&gt;"",COUNTIF(H75:V75,"x")&gt;0),"OK","Falta"))</f>
        <v/>
      </c>
    </row>
    <row r="76" customFormat="false" ht="15" hidden="false" customHeight="true" outlineLevel="0" collapsed="false">
      <c r="A76" s="17"/>
      <c r="B76" s="21"/>
      <c r="C76" s="21"/>
      <c r="D76" s="17"/>
      <c r="E76" s="23"/>
      <c r="F76" s="17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 t="str">
        <f aca="false">IF(AND($A76="",COUNTIF(H76:V76,"x")=0),"",IF(AND($A76&lt;&gt;"",COUNTIF(H76:V76,"x")&gt;0),"OK","Falta"))</f>
        <v/>
      </c>
    </row>
    <row r="77" customFormat="false" ht="15" hidden="false" customHeight="true" outlineLevel="0" collapsed="false">
      <c r="A77" s="17"/>
      <c r="B77" s="21"/>
      <c r="C77" s="21"/>
      <c r="D77" s="17"/>
      <c r="E77" s="23"/>
      <c r="F77" s="17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 t="str">
        <f aca="false">IF(AND($A77="",COUNTIF(H77:V77,"x")=0),"",IF(AND($A77&lt;&gt;"",COUNTIF(H77:V77,"x")&gt;0),"OK","Falta"))</f>
        <v/>
      </c>
    </row>
    <row r="78" customFormat="false" ht="15" hidden="false" customHeight="true" outlineLevel="0" collapsed="false">
      <c r="A78" s="17"/>
      <c r="B78" s="21"/>
      <c r="C78" s="21"/>
      <c r="D78" s="17"/>
      <c r="E78" s="23"/>
      <c r="F78" s="17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 t="str">
        <f aca="false">IF(AND($A78="",COUNTIF(H78:V78,"x")=0),"",IF(AND($A78&lt;&gt;"",COUNTIF(H78:V78,"x")&gt;0),"OK","Falta"))</f>
        <v/>
      </c>
    </row>
    <row r="79" customFormat="false" ht="15" hidden="false" customHeight="true" outlineLevel="0" collapsed="false">
      <c r="A79" s="17"/>
      <c r="B79" s="21"/>
      <c r="C79" s="21"/>
      <c r="D79" s="17"/>
      <c r="E79" s="23"/>
      <c r="F79" s="17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 t="str">
        <f aca="false">IF(AND($A79="",COUNTIF(H79:V79,"x")=0),"",IF(AND($A79&lt;&gt;"",COUNTIF(H79:V79,"x")&gt;0),"OK","Falta"))</f>
        <v/>
      </c>
    </row>
    <row r="80" customFormat="false" ht="15" hidden="false" customHeight="true" outlineLevel="0" collapsed="false">
      <c r="A80" s="17"/>
      <c r="B80" s="21"/>
      <c r="C80" s="21"/>
      <c r="D80" s="17"/>
      <c r="E80" s="23"/>
      <c r="F80" s="17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 t="str">
        <f aca="false">IF(AND($A80="",COUNTIF(H80:V80,"x")=0),"",IF(AND($A80&lt;&gt;"",COUNTIF(H80:V80,"x")&gt;0),"OK","Falta"))</f>
        <v/>
      </c>
    </row>
    <row r="81" customFormat="false" ht="15" hidden="false" customHeight="true" outlineLevel="0" collapsed="false">
      <c r="A81" s="17"/>
      <c r="B81" s="21"/>
      <c r="C81" s="21"/>
      <c r="D81" s="17"/>
      <c r="E81" s="23"/>
      <c r="F81" s="17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 t="str">
        <f aca="false">IF(AND($A81="",COUNTIF(H81:V81,"x")=0),"",IF(AND($A81&lt;&gt;"",COUNTIF(H81:V81,"x")&gt;0),"OK","Falta"))</f>
        <v/>
      </c>
    </row>
    <row r="82" customFormat="false" ht="15" hidden="false" customHeight="true" outlineLevel="0" collapsed="false">
      <c r="A82" s="17"/>
      <c r="B82" s="21"/>
      <c r="C82" s="21"/>
      <c r="D82" s="17"/>
      <c r="E82" s="23"/>
      <c r="F82" s="17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 t="str">
        <f aca="false">IF(AND($A82="",COUNTIF(H82:V82,"x")=0),"",IF(AND($A82&lt;&gt;"",COUNTIF(H82:V82,"x")&gt;0),"OK","Falta"))</f>
        <v/>
      </c>
    </row>
    <row r="83" customFormat="false" ht="15" hidden="false" customHeight="true" outlineLevel="0" collapsed="false">
      <c r="A83" s="17"/>
      <c r="B83" s="21"/>
      <c r="C83" s="21"/>
      <c r="D83" s="17"/>
      <c r="E83" s="23"/>
      <c r="F83" s="17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 t="str">
        <f aca="false">IF(AND($A83="",COUNTIF(H83:V83,"x")=0),"",IF(AND($A83&lt;&gt;"",COUNTIF(H83:V83,"x")&gt;0),"OK","Falta"))</f>
        <v/>
      </c>
    </row>
    <row r="84" customFormat="false" ht="15" hidden="false" customHeight="true" outlineLevel="0" collapsed="false">
      <c r="A84" s="17"/>
      <c r="B84" s="21"/>
      <c r="C84" s="21"/>
      <c r="D84" s="17"/>
      <c r="E84" s="23"/>
      <c r="F84" s="17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 t="str">
        <f aca="false">IF(AND($A84="",COUNTIF(H84:V84,"x")=0),"",IF(AND($A84&lt;&gt;"",COUNTIF(H84:V84,"x")&gt;0),"OK","Falta"))</f>
        <v/>
      </c>
    </row>
    <row r="85" customFormat="false" ht="15" hidden="false" customHeight="true" outlineLevel="0" collapsed="false">
      <c r="A85" s="17"/>
      <c r="B85" s="21"/>
      <c r="C85" s="21"/>
      <c r="D85" s="17"/>
      <c r="E85" s="23"/>
      <c r="F85" s="17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 t="str">
        <f aca="false">IF(AND($A85="",COUNTIF(H85:V85,"x")=0),"",IF(AND($A85&lt;&gt;"",COUNTIF(H85:V85,"x")&gt;0),"OK","Falta"))</f>
        <v/>
      </c>
    </row>
    <row r="86" customFormat="false" ht="15" hidden="false" customHeight="true" outlineLevel="0" collapsed="false">
      <c r="A86" s="17"/>
      <c r="B86" s="21"/>
      <c r="C86" s="21"/>
      <c r="D86" s="17"/>
      <c r="E86" s="23"/>
      <c r="F86" s="17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 t="str">
        <f aca="false">IF(AND($A86="",COUNTIF(H86:V86,"x")=0),"",IF(AND($A86&lt;&gt;"",COUNTIF(H86:V86,"x")&gt;0),"OK","Falta"))</f>
        <v/>
      </c>
    </row>
    <row r="87" customFormat="false" ht="15" hidden="false" customHeight="true" outlineLevel="0" collapsed="false">
      <c r="A87" s="17"/>
      <c r="B87" s="21"/>
      <c r="C87" s="21"/>
      <c r="D87" s="17"/>
      <c r="E87" s="23"/>
      <c r="F87" s="17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 t="str">
        <f aca="false">IF(AND($A87="",COUNTIF(H87:V87,"x")=0),"",IF(AND($A87&lt;&gt;"",COUNTIF(H87:V87,"x")&gt;0),"OK","Falta"))</f>
        <v/>
      </c>
    </row>
    <row r="88" customFormat="false" ht="15" hidden="false" customHeight="true" outlineLevel="0" collapsed="false">
      <c r="A88" s="17"/>
      <c r="B88" s="21"/>
      <c r="C88" s="21"/>
      <c r="D88" s="17"/>
      <c r="E88" s="23"/>
      <c r="F88" s="17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 t="str">
        <f aca="false">IF(AND($A88="",COUNTIF(H88:V88,"x")=0),"",IF(AND($A88&lt;&gt;"",COUNTIF(H88:V88,"x")&gt;0),"OK","Falta"))</f>
        <v/>
      </c>
    </row>
    <row r="89" customFormat="false" ht="15" hidden="false" customHeight="true" outlineLevel="0" collapsed="false">
      <c r="A89" s="17"/>
      <c r="B89" s="21"/>
      <c r="C89" s="21"/>
      <c r="D89" s="17"/>
      <c r="E89" s="23"/>
      <c r="F89" s="17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 t="str">
        <f aca="false">IF(AND($A89="",COUNTIF(H89:V89,"x")=0),"",IF(AND($A89&lt;&gt;"",COUNTIF(H89:V89,"x")&gt;0),"OK","Falta"))</f>
        <v/>
      </c>
    </row>
    <row r="90" customFormat="false" ht="15" hidden="false" customHeight="true" outlineLevel="0" collapsed="false">
      <c r="A90" s="17"/>
      <c r="B90" s="21"/>
      <c r="C90" s="21"/>
      <c r="D90" s="17"/>
      <c r="E90" s="23"/>
      <c r="F90" s="17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 t="str">
        <f aca="false">IF(AND($A90="",COUNTIF(H90:V90,"x")=0),"",IF(AND($A90&lt;&gt;"",COUNTIF(H90:V90,"x")&gt;0),"OK","Falta"))</f>
        <v/>
      </c>
    </row>
    <row r="91" customFormat="false" ht="15" hidden="false" customHeight="true" outlineLevel="0" collapsed="false">
      <c r="A91" s="17"/>
      <c r="B91" s="21"/>
      <c r="C91" s="21"/>
      <c r="D91" s="17"/>
      <c r="E91" s="23"/>
      <c r="F91" s="17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 t="str">
        <f aca="false">IF(AND($A91="",COUNTIF(H91:V91,"x")=0),"",IF(AND($A91&lt;&gt;"",COUNTIF(H91:V91,"x")&gt;0),"OK","Falta"))</f>
        <v/>
      </c>
    </row>
    <row r="92" customFormat="false" ht="15" hidden="false" customHeight="true" outlineLevel="0" collapsed="false">
      <c r="A92" s="17"/>
      <c r="B92" s="21"/>
      <c r="C92" s="21"/>
      <c r="D92" s="17"/>
      <c r="E92" s="23"/>
      <c r="F92" s="17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 t="str">
        <f aca="false">IF(AND($A92="",COUNTIF(H92:V92,"x")=0),"",IF(AND($A92&lt;&gt;"",COUNTIF(H92:V92,"x")&gt;0),"OK","Falta"))</f>
        <v/>
      </c>
    </row>
    <row r="93" customFormat="false" ht="15" hidden="false" customHeight="true" outlineLevel="0" collapsed="false">
      <c r="A93" s="17"/>
      <c r="B93" s="21"/>
      <c r="C93" s="21"/>
      <c r="D93" s="17"/>
      <c r="E93" s="23"/>
      <c r="F93" s="17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 t="str">
        <f aca="false">IF(AND($A93="",COUNTIF(H93:V93,"x")=0),"",IF(AND($A93&lt;&gt;"",COUNTIF(H93:V93,"x")&gt;0),"OK","Falta"))</f>
        <v/>
      </c>
    </row>
    <row r="94" customFormat="false" ht="15" hidden="false" customHeight="true" outlineLevel="0" collapsed="false">
      <c r="A94" s="17"/>
      <c r="B94" s="21"/>
      <c r="C94" s="21"/>
      <c r="D94" s="17"/>
      <c r="E94" s="23"/>
      <c r="F94" s="17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 t="str">
        <f aca="false">IF(AND($A94="",COUNTIF(H94:V94,"x")=0),"",IF(AND($A94&lt;&gt;"",COUNTIF(H94:V94,"x")&gt;0),"OK","Falta"))</f>
        <v/>
      </c>
    </row>
    <row r="95" customFormat="false" ht="15" hidden="false" customHeight="true" outlineLevel="0" collapsed="false">
      <c r="A95" s="17"/>
      <c r="B95" s="21"/>
      <c r="C95" s="21"/>
      <c r="D95" s="17"/>
      <c r="E95" s="23"/>
      <c r="F95" s="17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 t="str">
        <f aca="false">IF(AND($A95="",COUNTIF(H95:V95,"x")=0),"",IF(AND($A95&lt;&gt;"",COUNTIF(H95:V95,"x")&gt;0),"OK","Falta"))</f>
        <v/>
      </c>
    </row>
    <row r="96" customFormat="false" ht="15" hidden="false" customHeight="true" outlineLevel="0" collapsed="false">
      <c r="A96" s="17"/>
      <c r="B96" s="21"/>
      <c r="C96" s="21"/>
      <c r="D96" s="17"/>
      <c r="E96" s="23"/>
      <c r="F96" s="17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 t="str">
        <f aca="false">IF(AND($A96="",COUNTIF(H96:V96,"x")=0),"",IF(AND($A96&lt;&gt;"",COUNTIF(H96:V96,"x")&gt;0),"OK","Falta"))</f>
        <v/>
      </c>
    </row>
    <row r="97" customFormat="false" ht="15" hidden="false" customHeight="true" outlineLevel="0" collapsed="false">
      <c r="A97" s="17"/>
      <c r="B97" s="21"/>
      <c r="C97" s="21"/>
      <c r="D97" s="17"/>
      <c r="E97" s="23"/>
      <c r="F97" s="17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 t="str">
        <f aca="false">IF(AND($A97="",COUNTIF(H97:V97,"x")=0),"",IF(AND($A97&lt;&gt;"",COUNTIF(H97:V97,"x")&gt;0),"OK","Falta"))</f>
        <v/>
      </c>
    </row>
    <row r="98" customFormat="false" ht="15" hidden="false" customHeight="true" outlineLevel="0" collapsed="false">
      <c r="A98" s="17"/>
      <c r="B98" s="21"/>
      <c r="C98" s="21"/>
      <c r="D98" s="17"/>
      <c r="E98" s="23"/>
      <c r="F98" s="17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 t="str">
        <f aca="false">IF(AND($A98="",COUNTIF(H98:V98,"x")=0),"",IF(AND($A98&lt;&gt;"",COUNTIF(H98:V98,"x")&gt;0),"OK","Falta"))</f>
        <v/>
      </c>
    </row>
    <row r="99" customFormat="false" ht="15" hidden="false" customHeight="true" outlineLevel="0" collapsed="false">
      <c r="A99" s="17"/>
      <c r="B99" s="21"/>
      <c r="C99" s="21"/>
      <c r="D99" s="17"/>
      <c r="E99" s="23"/>
      <c r="F99" s="17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 t="str">
        <f aca="false">IF(AND($A99="",COUNTIF(H99:V99,"x")=0),"",IF(AND($A99&lt;&gt;"",COUNTIF(H99:V99,"x")&gt;0),"OK","Falta"))</f>
        <v/>
      </c>
    </row>
    <row r="100" customFormat="false" ht="15" hidden="false" customHeight="true" outlineLevel="0" collapsed="false">
      <c r="A100" s="17"/>
      <c r="B100" s="21"/>
      <c r="C100" s="21"/>
      <c r="D100" s="17"/>
      <c r="E100" s="23"/>
      <c r="F100" s="17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 t="str">
        <f aca="false">IF(AND($A100="",COUNTIF(H100:V100,"x")=0),"",IF(AND($A100&lt;&gt;"",COUNTIF(H100:V100,"x")&gt;0),"OK","Falta"))</f>
        <v/>
      </c>
    </row>
    <row r="101" customFormat="false" ht="15" hidden="false" customHeight="true" outlineLevel="0" collapsed="false">
      <c r="A101" s="17"/>
      <c r="B101" s="21"/>
      <c r="C101" s="21"/>
      <c r="D101" s="17"/>
      <c r="E101" s="23"/>
      <c r="F101" s="17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 t="str">
        <f aca="false">IF(AND($A101="",COUNTIF(H101:V101,"x")=0),"",IF(AND($A101&lt;&gt;"",COUNTIF(H101:V101,"x")&gt;0),"OK","Falta"))</f>
        <v/>
      </c>
    </row>
    <row r="102" customFormat="false" ht="15" hidden="false" customHeight="true" outlineLevel="0" collapsed="false">
      <c r="A102" s="17"/>
      <c r="B102" s="21"/>
      <c r="C102" s="21"/>
      <c r="D102" s="17"/>
      <c r="E102" s="23"/>
      <c r="F102" s="17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 t="str">
        <f aca="false">IF(AND($A102="",COUNTIF(H102:V102,"x")=0),"",IF(AND($A102&lt;&gt;"",COUNTIF(H102:V102,"x")&gt;0),"OK","Falta"))</f>
        <v/>
      </c>
    </row>
  </sheetData>
  <mergeCells count="4">
    <mergeCell ref="A1:G1"/>
    <mergeCell ref="H1:L1"/>
    <mergeCell ref="M1:V1"/>
    <mergeCell ref="W1:AC1"/>
  </mergeCells>
  <dataValidations count="4">
    <dataValidation allowBlank="true" error="Escribe solo &quot;x&quot; o deja vacío." errorStyle="stop" errorTitle="Valor no válido" operator="between" showDropDown="false" showErrorMessage="true" showInputMessage="false" sqref="H3:AC102" type="list">
      <formula1>"x"</formula1>
      <formula2>0</formula2>
    </dataValidation>
    <dataValidation allowBlank="true" error="Elige un nivel de la lista." errorStyle="stop" errorTitle="Nivel" operator="between" showDropDown="false" showErrorMessage="true" showInputMessage="false" sqref="D3:D102" type="list">
      <formula1>"Primaria,Secundaria,Secundaria avanzada,Universitario,Todos"</formula1>
      <formula2>0</formula2>
    </dataValidation>
    <dataValidation allowBlank="true" error="Minutos, número entero." errorStyle="stop" errorTitle="Duración" operator="between" showDropDown="false" showErrorMessage="true" showInputMessage="false" sqref="E3:E102" type="whole">
      <formula1>1</formula1>
      <formula2>2000</formula2>
    </dataValidation>
    <dataValidation allowBlank="true" error="Año, ej. 2010." errorStyle="stop" errorTitle="Nobel" operator="between" showDropDown="false" showErrorMessage="true" showInputMessage="false" sqref="G3:G102" type="whole">
      <formula1>1901</formula1>
      <formula2>2100</formula2>
    </dataValidation>
  </dataValidations>
  <hyperlinks>
    <hyperlink ref="AE15" r:id="rId1" display="https://www.thoughtco.com/observing-mitosis-lab-1224888"/>
    <hyperlink ref="AE17" r:id="rId2" display="https://www.sciencebuff.org/scienceactivity/breathing-leaves/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5" t="s">
        <v>139</v>
      </c>
    </row>
    <row r="2" customFormat="false" ht="15" hidden="false" customHeight="true" outlineLevel="0" collapsed="false">
      <c r="A2" s="26" t="s">
        <v>140</v>
      </c>
    </row>
    <row r="4" customFormat="false" ht="15" hidden="false" customHeight="true" outlineLevel="0" collapsed="false">
      <c r="A4" s="27" t="s">
        <v>141</v>
      </c>
      <c r="B4" s="27" t="n">
        <f aca="false">COUNTA(Experimentos!A4:A102)</f>
        <v>19</v>
      </c>
    </row>
    <row r="6" customFormat="false" ht="15" hidden="false" customHeight="true" outlineLevel="0" collapsed="false">
      <c r="A6" s="28" t="s">
        <v>19</v>
      </c>
      <c r="B6" s="28" t="s">
        <v>142</v>
      </c>
    </row>
    <row r="7" customFormat="false" ht="15" hidden="false" customHeight="true" outlineLevel="0" collapsed="false">
      <c r="A7" s="29" t="s">
        <v>29</v>
      </c>
      <c r="B7" s="29" t="n">
        <f aca="false">COUNTIF(Experimentos!H4:H102,"x")</f>
        <v>7</v>
      </c>
    </row>
    <row r="8" customFormat="false" ht="15" hidden="false" customHeight="true" outlineLevel="0" collapsed="false">
      <c r="A8" s="29" t="s">
        <v>30</v>
      </c>
      <c r="B8" s="29" t="n">
        <f aca="false">COUNTIF(Experimentos!I4:I102,"x")</f>
        <v>7</v>
      </c>
    </row>
    <row r="9" customFormat="false" ht="15" hidden="false" customHeight="true" outlineLevel="0" collapsed="false">
      <c r="A9" s="29" t="s">
        <v>31</v>
      </c>
      <c r="B9" s="29" t="n">
        <f aca="false">COUNTIF(Experimentos!J4:J102,"x")</f>
        <v>4</v>
      </c>
    </row>
    <row r="10" customFormat="false" ht="15" hidden="false" customHeight="true" outlineLevel="0" collapsed="false">
      <c r="A10" s="29" t="s">
        <v>32</v>
      </c>
      <c r="B10" s="29" t="n">
        <f aca="false">COUNTIF(Experimentos!K4:K102,"x")</f>
        <v>2</v>
      </c>
    </row>
    <row r="11" customFormat="false" ht="15" hidden="false" customHeight="true" outlineLevel="0" collapsed="false">
      <c r="A11" s="29" t="s">
        <v>33</v>
      </c>
      <c r="B11" s="29" t="n">
        <f aca="false">COUNTIF(Experimentos!L4:L102,"x")</f>
        <v>2</v>
      </c>
    </row>
    <row r="13" customFormat="false" ht="15" hidden="false" customHeight="true" outlineLevel="0" collapsed="false">
      <c r="A13" s="28" t="s">
        <v>20</v>
      </c>
      <c r="B13" s="28" t="s">
        <v>142</v>
      </c>
    </row>
    <row r="14" customFormat="false" ht="15" hidden="false" customHeight="true" outlineLevel="0" collapsed="false">
      <c r="A14" s="29" t="s">
        <v>34</v>
      </c>
      <c r="B14" s="29" t="n">
        <f aca="false">COUNTIF(Experimentos!M4:M102,"x")</f>
        <v>2</v>
      </c>
    </row>
    <row r="15" customFormat="false" ht="15" hidden="false" customHeight="true" outlineLevel="0" collapsed="false">
      <c r="A15" s="29" t="s">
        <v>35</v>
      </c>
      <c r="B15" s="29" t="n">
        <f aca="false">COUNTIF(Experimentos!N4:N102,"x")</f>
        <v>3</v>
      </c>
    </row>
    <row r="16" customFormat="false" ht="15" hidden="false" customHeight="true" outlineLevel="0" collapsed="false">
      <c r="A16" s="29" t="s">
        <v>36</v>
      </c>
      <c r="B16" s="29" t="n">
        <f aca="false">COUNTIF(Experimentos!O4:O102,"x")</f>
        <v>1</v>
      </c>
    </row>
    <row r="17" customFormat="false" ht="15" hidden="false" customHeight="true" outlineLevel="0" collapsed="false">
      <c r="A17" s="29" t="s">
        <v>37</v>
      </c>
      <c r="B17" s="29" t="n">
        <f aca="false">COUNTIF(Experimentos!P4:P102,"x")</f>
        <v>2</v>
      </c>
    </row>
    <row r="18" customFormat="false" ht="15" hidden="false" customHeight="true" outlineLevel="0" collapsed="false">
      <c r="A18" s="29" t="s">
        <v>38</v>
      </c>
      <c r="B18" s="29" t="n">
        <f aca="false">COUNTIF(Experimentos!Q4:Q102,"x")</f>
        <v>16</v>
      </c>
    </row>
    <row r="19" customFormat="false" ht="15" hidden="false" customHeight="true" outlineLevel="0" collapsed="false">
      <c r="A19" s="29" t="s">
        <v>39</v>
      </c>
      <c r="B19" s="29" t="n">
        <f aca="false">COUNTIF(Experimentos!R4:R102,"x")</f>
        <v>0</v>
      </c>
    </row>
    <row r="20" customFormat="false" ht="15" hidden="false" customHeight="true" outlineLevel="0" collapsed="false">
      <c r="A20" s="29" t="s">
        <v>40</v>
      </c>
      <c r="B20" s="29" t="n">
        <f aca="false">COUNTIF(Experimentos!S4:S102,"x")</f>
        <v>5</v>
      </c>
    </row>
    <row r="21" customFormat="false" ht="15" hidden="false" customHeight="true" outlineLevel="0" collapsed="false">
      <c r="A21" s="29" t="s">
        <v>41</v>
      </c>
      <c r="B21" s="29" t="n">
        <f aca="false">COUNTIF(Experimentos!T4:T102,"x")</f>
        <v>2</v>
      </c>
    </row>
    <row r="22" customFormat="false" ht="15" hidden="false" customHeight="true" outlineLevel="0" collapsed="false">
      <c r="A22" s="29" t="s">
        <v>42</v>
      </c>
      <c r="B22" s="29" t="n">
        <f aca="false">COUNTIF(Experimentos!U4:U102,"x")</f>
        <v>0</v>
      </c>
    </row>
    <row r="23" customFormat="false" ht="15" hidden="false" customHeight="true" outlineLevel="0" collapsed="false">
      <c r="A23" s="29" t="s">
        <v>43</v>
      </c>
      <c r="B23" s="29" t="n">
        <f aca="false">COUNTIF(Experimentos!V4:V102,"x")</f>
        <v>5</v>
      </c>
    </row>
    <row r="25" customFormat="false" ht="15" hidden="false" customHeight="true" outlineLevel="0" collapsed="false">
      <c r="A25" s="28" t="s">
        <v>21</v>
      </c>
      <c r="B25" s="28" t="s">
        <v>142</v>
      </c>
    </row>
    <row r="26" customFormat="false" ht="15" hidden="false" customHeight="true" outlineLevel="0" collapsed="false">
      <c r="A26" s="29" t="s">
        <v>44</v>
      </c>
      <c r="B26" s="29" t="n">
        <f aca="false">COUNTIF(Experimentos!W4:W102,"x")</f>
        <v>0</v>
      </c>
    </row>
    <row r="27" customFormat="false" ht="15" hidden="false" customHeight="true" outlineLevel="0" collapsed="false">
      <c r="A27" s="29" t="s">
        <v>45</v>
      </c>
      <c r="B27" s="29" t="n">
        <f aca="false">COUNTIF(Experimentos!X4:X102,"x")</f>
        <v>0</v>
      </c>
    </row>
    <row r="28" customFormat="false" ht="15" hidden="false" customHeight="true" outlineLevel="0" collapsed="false">
      <c r="A28" s="29" t="s">
        <v>46</v>
      </c>
      <c r="B28" s="29" t="n">
        <f aca="false">COUNTIF(Experimentos!Y4:Y102,"x")</f>
        <v>0</v>
      </c>
    </row>
    <row r="29" customFormat="false" ht="15" hidden="false" customHeight="true" outlineLevel="0" collapsed="false">
      <c r="A29" s="29" t="s">
        <v>47</v>
      </c>
      <c r="B29" s="29" t="n">
        <f aca="false">COUNTIF(Experimentos!Z4:Z102,"x")</f>
        <v>4</v>
      </c>
    </row>
    <row r="30" customFormat="false" ht="15" hidden="false" customHeight="true" outlineLevel="0" collapsed="false">
      <c r="A30" s="29" t="s">
        <v>48</v>
      </c>
      <c r="B30" s="29" t="n">
        <f aca="false">COUNTIF(Experimentos!AA4:AA102,"x")</f>
        <v>0</v>
      </c>
    </row>
    <row r="31" customFormat="false" ht="15" hidden="false" customHeight="true" outlineLevel="0" collapsed="false">
      <c r="A31" s="29" t="s">
        <v>49</v>
      </c>
      <c r="B31" s="29" t="n">
        <f aca="false">COUNTIF(Experimentos!AB4:AB102,"x")</f>
        <v>0</v>
      </c>
    </row>
    <row r="32" customFormat="false" ht="15" hidden="false" customHeight="true" outlineLevel="0" collapsed="false">
      <c r="A32" s="29" t="s">
        <v>50</v>
      </c>
      <c r="B32" s="29" t="n">
        <f aca="false">COUNTIF(Experimentos!AC4:AC102,"x")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2026-09-26T18:16:36Z</dcterms:created>
  <dc:creator>openpyxl</dc:creator>
  <dc:description/>
  <dc:language>en-US</dc:language>
  <cp:lastModifiedBy/>
  <dcterms:modified xsi:type="dcterms:W3CDTF">2026-09-26T15:52:32Z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